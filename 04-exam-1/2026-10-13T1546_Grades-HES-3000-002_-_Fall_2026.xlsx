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yu/Documents/GitHub/HES-3000-Sports-Performance-Analytics/04-exam-1/"/>
    </mc:Choice>
  </mc:AlternateContent>
  <xr:revisionPtr revIDLastSave="0" documentId="13_ncr:9_{9724D43C-F098-FD4A-B821-389E8A3FADC9}" xr6:coauthVersionLast="47" xr6:coauthVersionMax="47" xr10:uidLastSave="{00000000-0000-0000-0000-000000000000}"/>
  <bookViews>
    <workbookView xWindow="660" yWindow="740" windowWidth="28040" windowHeight="17260" xr2:uid="{C1F45844-1AC1-B842-B112-DB5AA8896A8E}"/>
  </bookViews>
  <sheets>
    <sheet name="2026-10-13T1546_Grades-HES-3000" sheetId="1" r:id="rId1"/>
  </sheets>
  <definedNames>
    <definedName name="_xlchart.v1.0" hidden="1">'2026-10-13T1546_Grades-HES-3000'!$F$1</definedName>
    <definedName name="_xlchart.v1.1" hidden="1">'2026-10-13T1546_Grades-HES-3000'!$F$2:$F$25</definedName>
    <definedName name="_xlchart.v1.10" hidden="1">'2026-10-13T1546_Grades-HES-3000'!$C$2:$C$25</definedName>
    <definedName name="_xlchart.v1.11" hidden="1">'2026-10-13T1546_Grades-HES-3000'!$C$1</definedName>
    <definedName name="_xlchart.v1.12" hidden="1">'2026-10-13T1546_Grades-HES-3000'!$C$2:$C$25</definedName>
    <definedName name="_xlchart.v1.2" hidden="1">'2026-10-13T1546_Grades-HES-3000'!$D$25</definedName>
    <definedName name="_xlchart.v1.3" hidden="1">'2026-10-13T1546_Grades-HES-3000'!$G$1:$G$24</definedName>
    <definedName name="_xlchart.v1.4" hidden="1">'2026-10-13T1546_Grades-HES-3000'!$G$25</definedName>
    <definedName name="_xlchart.v1.5" hidden="1">'2026-10-13T1546_Grades-HES-3000'!$D$25</definedName>
    <definedName name="_xlchart.v1.6" hidden="1">'2026-10-13T1546_Grades-HES-3000'!$D$2:$D$24</definedName>
    <definedName name="_xlchart.v1.7" hidden="1">'2026-10-13T1546_Grades-HES-3000'!$D$1:$D$25</definedName>
    <definedName name="_xlchart.v1.8" hidden="1">'2026-10-13T1546_Grades-HES-3000'!$D$26:$D$27</definedName>
    <definedName name="_xlchart.v1.9" hidden="1">'2026-10-13T1546_Grades-HES-3000'!$C$1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</calcChain>
</file>

<file path=xl/sharedStrings.xml><?xml version="1.0" encoding="utf-8"?>
<sst xmlns="http://schemas.openxmlformats.org/spreadsheetml/2006/main" count="96" uniqueCount="37">
  <si>
    <t>Student</t>
  </si>
  <si>
    <t>Exam 1 (3601168)</t>
  </si>
  <si>
    <t>Current Score</t>
  </si>
  <si>
    <t>Current Grade</t>
  </si>
  <si>
    <t>Dobbs, Bella</t>
  </si>
  <si>
    <t>F</t>
  </si>
  <si>
    <t>Toney, Brock</t>
  </si>
  <si>
    <t>McDonald, Caroline</t>
  </si>
  <si>
    <t>C</t>
  </si>
  <si>
    <t>D</t>
  </si>
  <si>
    <t>Snider Nix, Rylee</t>
  </si>
  <si>
    <t>Chisena, Fede</t>
  </si>
  <si>
    <t>Feemster, Matthew</t>
  </si>
  <si>
    <t>Eric, Jelena</t>
  </si>
  <si>
    <t>Barnes, J.J.</t>
  </si>
  <si>
    <t>Larkin Prater, James</t>
  </si>
  <si>
    <t>Sweis, Elizabeth</t>
  </si>
  <si>
    <t>B</t>
  </si>
  <si>
    <t>Crowson, Julia</t>
  </si>
  <si>
    <t>Dugas, Lily</t>
  </si>
  <si>
    <t>Ficklin, Dylan</t>
  </si>
  <si>
    <t>Johnson, Stevi</t>
  </si>
  <si>
    <t>Marquez de la Plata, Matt</t>
  </si>
  <si>
    <t>Ashalintubbi, Kaitlyn</t>
  </si>
  <si>
    <t>Harris, Mya</t>
  </si>
  <si>
    <t>A</t>
  </si>
  <si>
    <t>de Carvalho, Wanderlay</t>
  </si>
  <si>
    <t>Slater, Mason</t>
  </si>
  <si>
    <t>Sconzert, Ethan</t>
  </si>
  <si>
    <t>Mott, Chase</t>
  </si>
  <si>
    <t>Klein, Sean</t>
  </si>
  <si>
    <t>Warren, Zowe</t>
  </si>
  <si>
    <t>Appling, Evan</t>
  </si>
  <si>
    <t>ec</t>
  </si>
  <si>
    <t>y</t>
  </si>
  <si>
    <t>new grade</t>
  </si>
  <si>
    <t>new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</si>
</sst>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00000000-303B-5748-A03E-168D9053E293}">
          <cx:tx>
            <cx:txData>
              <cx:f>_xlchart.v1.11</cx:f>
              <cx:v>Current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6D56-6445-9D6B-C054FDC08FD7}">
          <cx:tx>
            <cx:txData>
              <cx:f>_xlchart.v1.0</cx:f>
              <cx:v>new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122116</xdr:colOff>
      <xdr:row>0</xdr:row>
      <xdr:rowOff>74246</xdr:rowOff>
    </xdr:from>
    <xdr:to>
      <xdr:col>12</xdr:col>
      <xdr:colOff>542193</xdr:colOff>
      <xdr:row>13</xdr:row>
      <xdr:rowOff>150446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D0EE681-ED06-3362-0869-54964D837D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0962" y="7424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112347</xdr:colOff>
      <xdr:row>13</xdr:row>
      <xdr:rowOff>201245</xdr:rowOff>
    </xdr:from>
    <xdr:to>
      <xdr:col>12</xdr:col>
      <xdr:colOff>532424</xdr:colOff>
      <xdr:row>27</xdr:row>
      <xdr:rowOff>72291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B3B2BB3-F3D0-9441-41E6-646078C2FA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1193" y="286824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CD207-A76D-A549-8918-37597D90860E}" name="Table1" displayName="Table1" ref="A1:G25" totalsRowShown="0">
  <autoFilter ref="A1:G25" xr:uid="{757CD207-A76D-A549-8918-37597D9086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46BC95F-AFF0-454D-88A7-452474FF5E8B}" name="Student"/>
    <tableColumn id="3" xr3:uid="{ECBB996F-9C6C-3E42-998C-4AA8D2959FC7}" name="Exam 1 (3601168)" dataDxfId="5"/>
    <tableColumn id="4" xr3:uid="{37C49F84-88E8-2044-9FFF-7BBDF674BB60}" name="Current Score" dataDxfId="4"/>
    <tableColumn id="5" xr3:uid="{9B875B5B-89C4-BD4A-ACC2-D2D64080F319}" name="Current Grade" dataDxfId="3"/>
    <tableColumn id="6" xr3:uid="{E121706F-4BF5-B74B-96AD-C160880412BE}" name="ec" dataDxfId="2"/>
    <tableColumn id="7" xr3:uid="{040DAC14-850E-4349-A968-E9F3D465BDAC}" name="new score" dataDxfId="1">
      <calculatedColumnFormula>IF(Table1[[#This Row],[ec]]="y",Table1[[#This Row],[Current Score]]+10,Table1[[#This Row],[Current Score]])</calculatedColumnFormula>
    </tableColumn>
    <tableColumn id="8" xr3:uid="{3437761D-9DD4-9142-906A-E03B978343B6}" name="new grade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5755-3AFC-A645-AE49-6C8608C71C25}">
  <dimension ref="A1:G25"/>
  <sheetViews>
    <sheetView showGridLines="0" tabSelected="1" topLeftCell="A2" zoomScale="130" zoomScaleNormal="130" workbookViewId="0">
      <selection activeCell="F28" sqref="F28"/>
    </sheetView>
  </sheetViews>
  <sheetFormatPr baseColWidth="10" defaultRowHeight="16" x14ac:dyDescent="0.2"/>
  <cols>
    <col min="1" max="1" width="21.83203125" bestFit="1" customWidth="1"/>
    <col min="2" max="2" width="17.5" customWidth="1"/>
    <col min="3" max="3" width="14.1640625" customWidth="1"/>
    <col min="4" max="4" width="14.33203125" customWidth="1"/>
  </cols>
  <sheetData>
    <row r="1" spans="1:7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t="s">
        <v>36</v>
      </c>
      <c r="G1" t="s">
        <v>35</v>
      </c>
    </row>
    <row r="2" spans="1:7" x14ac:dyDescent="0.2">
      <c r="A2" t="s">
        <v>4</v>
      </c>
      <c r="B2" s="1">
        <v>0</v>
      </c>
      <c r="C2" s="1">
        <v>38.79</v>
      </c>
      <c r="D2" s="1" t="s">
        <v>5</v>
      </c>
      <c r="E2" s="1"/>
      <c r="F2" s="1">
        <f>IF(Table1[[#This Row],[ec]]="y",Table1[[#This Row],[Current Score]]+10,Table1[[#This Row],[Current Score]])</f>
        <v>38.79</v>
      </c>
      <c r="G2" s="1" t="s">
        <v>5</v>
      </c>
    </row>
    <row r="3" spans="1:7" x14ac:dyDescent="0.2">
      <c r="A3" t="s">
        <v>6</v>
      </c>
      <c r="B3" s="1">
        <v>45.5</v>
      </c>
      <c r="C3" s="1">
        <v>49.24</v>
      </c>
      <c r="D3" s="1" t="s">
        <v>5</v>
      </c>
      <c r="E3" s="1"/>
      <c r="F3" s="1">
        <f>IF(Table1[[#This Row],[ec]]="y",Table1[[#This Row],[Current Score]]+10,Table1[[#This Row],[Current Score]])</f>
        <v>49.24</v>
      </c>
      <c r="G3" s="1" t="s">
        <v>5</v>
      </c>
    </row>
    <row r="4" spans="1:7" x14ac:dyDescent="0.2">
      <c r="A4" t="s">
        <v>7</v>
      </c>
      <c r="B4" s="1">
        <v>55</v>
      </c>
      <c r="C4" s="1">
        <v>72.73</v>
      </c>
      <c r="D4" s="1" t="s">
        <v>8</v>
      </c>
      <c r="E4" s="1" t="s">
        <v>34</v>
      </c>
      <c r="F4" s="1">
        <f>IF(Table1[[#This Row],[ec]]="y",Table1[[#This Row],[Current Score]]+10,Table1[[#This Row],[Current Score]])</f>
        <v>82.73</v>
      </c>
      <c r="G4" s="1" t="s">
        <v>17</v>
      </c>
    </row>
    <row r="5" spans="1:7" x14ac:dyDescent="0.2">
      <c r="A5" t="s">
        <v>10</v>
      </c>
      <c r="B5" s="1">
        <v>56</v>
      </c>
      <c r="C5" s="1">
        <v>73.33</v>
      </c>
      <c r="D5" s="1" t="s">
        <v>8</v>
      </c>
      <c r="E5" s="1"/>
      <c r="F5" s="1">
        <f>IF(Table1[[#This Row],[ec]]="y",Table1[[#This Row],[Current Score]]+10,Table1[[#This Row],[Current Score]])</f>
        <v>73.33</v>
      </c>
      <c r="G5" s="1" t="s">
        <v>8</v>
      </c>
    </row>
    <row r="6" spans="1:7" x14ac:dyDescent="0.2">
      <c r="A6" t="s">
        <v>11</v>
      </c>
      <c r="B6" s="1">
        <v>60</v>
      </c>
      <c r="C6" s="1">
        <v>74.849999999999994</v>
      </c>
      <c r="D6" s="1" t="s">
        <v>8</v>
      </c>
      <c r="E6" s="1"/>
      <c r="F6" s="1">
        <f>IF(Table1[[#This Row],[ec]]="y",Table1[[#This Row],[Current Score]]+10,Table1[[#This Row],[Current Score]])</f>
        <v>74.849999999999994</v>
      </c>
      <c r="G6" s="1" t="s">
        <v>8</v>
      </c>
    </row>
    <row r="7" spans="1:7" x14ac:dyDescent="0.2">
      <c r="A7" t="s">
        <v>12</v>
      </c>
      <c r="B7" s="1">
        <v>60</v>
      </c>
      <c r="C7" s="1">
        <v>60</v>
      </c>
      <c r="D7" s="1" t="s">
        <v>9</v>
      </c>
      <c r="E7" s="1" t="s">
        <v>34</v>
      </c>
      <c r="F7" s="1">
        <f>IF(Table1[[#This Row],[ec]]="y",Table1[[#This Row],[Current Score]]+10,Table1[[#This Row],[Current Score]])</f>
        <v>70</v>
      </c>
      <c r="G7" s="1" t="s">
        <v>8</v>
      </c>
    </row>
    <row r="8" spans="1:7" x14ac:dyDescent="0.2">
      <c r="A8" t="s">
        <v>13</v>
      </c>
      <c r="B8" s="1">
        <v>62.5</v>
      </c>
      <c r="C8" s="1">
        <v>77.27</v>
      </c>
      <c r="D8" s="1" t="s">
        <v>8</v>
      </c>
      <c r="E8" s="1" t="s">
        <v>34</v>
      </c>
      <c r="F8" s="1">
        <f>IF(Table1[[#This Row],[ec]]="y",Table1[[#This Row],[Current Score]]+10,Table1[[#This Row],[Current Score]])</f>
        <v>87.27</v>
      </c>
      <c r="G8" s="1" t="s">
        <v>17</v>
      </c>
    </row>
    <row r="9" spans="1:7" x14ac:dyDescent="0.2">
      <c r="A9" t="s">
        <v>14</v>
      </c>
      <c r="B9" s="1">
        <v>64</v>
      </c>
      <c r="C9" s="1">
        <v>66.84</v>
      </c>
      <c r="D9" s="1" t="s">
        <v>9</v>
      </c>
      <c r="E9" s="1" t="s">
        <v>34</v>
      </c>
      <c r="F9" s="1">
        <f>IF(Table1[[#This Row],[ec]]="y",Table1[[#This Row],[Current Score]]+10,Table1[[#This Row],[Current Score]])</f>
        <v>76.84</v>
      </c>
      <c r="G9" s="1" t="s">
        <v>8</v>
      </c>
    </row>
    <row r="10" spans="1:7" x14ac:dyDescent="0.2">
      <c r="A10" t="s">
        <v>15</v>
      </c>
      <c r="B10" s="1">
        <v>65</v>
      </c>
      <c r="C10" s="1">
        <v>68.42</v>
      </c>
      <c r="D10" s="1" t="s">
        <v>9</v>
      </c>
      <c r="E10" s="1" t="s">
        <v>34</v>
      </c>
      <c r="F10" s="1">
        <f>IF(Table1[[#This Row],[ec]]="y",Table1[[#This Row],[Current Score]]+10,Table1[[#This Row],[Current Score]])</f>
        <v>78.42</v>
      </c>
      <c r="G10" s="1" t="s">
        <v>8</v>
      </c>
    </row>
    <row r="11" spans="1:7" x14ac:dyDescent="0.2">
      <c r="A11" t="s">
        <v>16</v>
      </c>
      <c r="B11" s="1">
        <v>70</v>
      </c>
      <c r="C11" s="1">
        <v>80.61</v>
      </c>
      <c r="D11" s="1" t="s">
        <v>17</v>
      </c>
      <c r="E11" s="1" t="s">
        <v>34</v>
      </c>
      <c r="F11" s="1">
        <f>IF(Table1[[#This Row],[ec]]="y",Table1[[#This Row],[Current Score]]+10,Table1[[#This Row],[Current Score]])</f>
        <v>90.61</v>
      </c>
      <c r="G11" s="1" t="s">
        <v>25</v>
      </c>
    </row>
    <row r="12" spans="1:7" x14ac:dyDescent="0.2">
      <c r="A12" t="s">
        <v>18</v>
      </c>
      <c r="B12" s="1">
        <v>72.5</v>
      </c>
      <c r="C12" s="1">
        <v>83.33</v>
      </c>
      <c r="D12" s="1" t="s">
        <v>17</v>
      </c>
      <c r="E12" s="1"/>
      <c r="F12" s="1">
        <f>IF(Table1[[#This Row],[ec]]="y",Table1[[#This Row],[Current Score]]+10,Table1[[#This Row],[Current Score]])</f>
        <v>83.33</v>
      </c>
      <c r="G12" s="1" t="s">
        <v>17</v>
      </c>
    </row>
    <row r="13" spans="1:7" x14ac:dyDescent="0.2">
      <c r="A13" t="s">
        <v>19</v>
      </c>
      <c r="B13" s="1">
        <v>74</v>
      </c>
      <c r="C13" s="1">
        <v>86.32</v>
      </c>
      <c r="D13" s="1" t="s">
        <v>17</v>
      </c>
      <c r="E13" s="1" t="s">
        <v>34</v>
      </c>
      <c r="F13" s="1">
        <f>IF(Table1[[#This Row],[ec]]="y",Table1[[#This Row],[Current Score]]+10,Table1[[#This Row],[Current Score]])</f>
        <v>96.32</v>
      </c>
      <c r="G13" s="1" t="s">
        <v>25</v>
      </c>
    </row>
    <row r="14" spans="1:7" x14ac:dyDescent="0.2">
      <c r="A14" t="s">
        <v>20</v>
      </c>
      <c r="B14" s="1">
        <v>76.5</v>
      </c>
      <c r="C14" s="1">
        <v>83.33</v>
      </c>
      <c r="D14" s="1" t="s">
        <v>17</v>
      </c>
      <c r="E14" s="1" t="s">
        <v>34</v>
      </c>
      <c r="F14" s="1">
        <f>IF(Table1[[#This Row],[ec]]="y",Table1[[#This Row],[Current Score]]+10,Table1[[#This Row],[Current Score]])</f>
        <v>93.33</v>
      </c>
      <c r="G14" s="1" t="s">
        <v>25</v>
      </c>
    </row>
    <row r="15" spans="1:7" x14ac:dyDescent="0.2">
      <c r="A15" t="s">
        <v>21</v>
      </c>
      <c r="B15" s="1">
        <v>78</v>
      </c>
      <c r="C15" s="1">
        <v>88.95</v>
      </c>
      <c r="D15" s="1" t="s">
        <v>17</v>
      </c>
      <c r="E15" s="1" t="s">
        <v>34</v>
      </c>
      <c r="F15" s="1">
        <f>IF(Table1[[#This Row],[ec]]="y",Table1[[#This Row],[Current Score]]+10,Table1[[#This Row],[Current Score]])</f>
        <v>98.95</v>
      </c>
      <c r="G15" s="1" t="s">
        <v>25</v>
      </c>
    </row>
    <row r="16" spans="1:7" x14ac:dyDescent="0.2">
      <c r="A16" t="s">
        <v>22</v>
      </c>
      <c r="B16" s="1">
        <v>82.5</v>
      </c>
      <c r="C16" s="1">
        <v>89.39</v>
      </c>
      <c r="D16" s="1" t="s">
        <v>17</v>
      </c>
      <c r="E16" s="1" t="s">
        <v>34</v>
      </c>
      <c r="F16" s="1">
        <f>IF(Table1[[#This Row],[ec]]="y",Table1[[#This Row],[Current Score]]+10,Table1[[#This Row],[Current Score]])</f>
        <v>99.39</v>
      </c>
      <c r="G16" s="1" t="s">
        <v>25</v>
      </c>
    </row>
    <row r="17" spans="1:7" x14ac:dyDescent="0.2">
      <c r="A17" t="s">
        <v>23</v>
      </c>
      <c r="B17" s="1">
        <v>83</v>
      </c>
      <c r="C17" s="1">
        <v>80</v>
      </c>
      <c r="D17" s="1" t="s">
        <v>17</v>
      </c>
      <c r="E17" s="1"/>
      <c r="F17" s="1">
        <f>IF(Table1[[#This Row],[ec]]="y",Table1[[#This Row],[Current Score]]+10,Table1[[#This Row],[Current Score]])</f>
        <v>80</v>
      </c>
      <c r="G17" s="1" t="s">
        <v>17</v>
      </c>
    </row>
    <row r="18" spans="1:7" x14ac:dyDescent="0.2">
      <c r="A18" t="s">
        <v>24</v>
      </c>
      <c r="B18" s="1">
        <v>84.5</v>
      </c>
      <c r="C18" s="1">
        <v>90</v>
      </c>
      <c r="D18" s="1" t="s">
        <v>25</v>
      </c>
      <c r="E18" s="1" t="s">
        <v>34</v>
      </c>
      <c r="F18" s="1">
        <f>IF(Table1[[#This Row],[ec]]="y",Table1[[#This Row],[Current Score]]+10,Table1[[#This Row],[Current Score]])</f>
        <v>100</v>
      </c>
      <c r="G18" s="1" t="s">
        <v>25</v>
      </c>
    </row>
    <row r="19" spans="1:7" x14ac:dyDescent="0.2">
      <c r="A19" t="s">
        <v>26</v>
      </c>
      <c r="B19" s="1">
        <v>85</v>
      </c>
      <c r="C19" s="1">
        <v>77.63</v>
      </c>
      <c r="D19" s="1" t="s">
        <v>8</v>
      </c>
      <c r="E19" s="1" t="s">
        <v>34</v>
      </c>
      <c r="F19" s="1">
        <f>IF(Table1[[#This Row],[ec]]="y",Table1[[#This Row],[Current Score]]+10,Table1[[#This Row],[Current Score]])</f>
        <v>87.63</v>
      </c>
      <c r="G19" s="1" t="s">
        <v>17</v>
      </c>
    </row>
    <row r="20" spans="1:7" x14ac:dyDescent="0.2">
      <c r="A20" t="s">
        <v>27</v>
      </c>
      <c r="B20" s="1">
        <v>85</v>
      </c>
      <c r="C20" s="1">
        <v>90.91</v>
      </c>
      <c r="D20" s="1" t="s">
        <v>25</v>
      </c>
      <c r="E20" s="1" t="s">
        <v>34</v>
      </c>
      <c r="F20" s="1">
        <f>IF(Table1[[#This Row],[ec]]="y",Table1[[#This Row],[Current Score]]+10,Table1[[#This Row],[Current Score]])</f>
        <v>100.91</v>
      </c>
      <c r="G20" s="1" t="s">
        <v>25</v>
      </c>
    </row>
    <row r="21" spans="1:7" x14ac:dyDescent="0.2">
      <c r="A21" t="s">
        <v>28</v>
      </c>
      <c r="B21" s="1">
        <v>87.5</v>
      </c>
      <c r="C21" s="1">
        <v>91.82</v>
      </c>
      <c r="D21" s="1" t="s">
        <v>25</v>
      </c>
      <c r="E21" s="1"/>
      <c r="F21" s="1">
        <f>IF(Table1[[#This Row],[ec]]="y",Table1[[#This Row],[Current Score]]+10,Table1[[#This Row],[Current Score]])</f>
        <v>91.82</v>
      </c>
      <c r="G21" s="1" t="s">
        <v>25</v>
      </c>
    </row>
    <row r="22" spans="1:7" x14ac:dyDescent="0.2">
      <c r="A22" t="s">
        <v>29</v>
      </c>
      <c r="B22" s="1">
        <v>88</v>
      </c>
      <c r="C22" s="1">
        <v>67.63</v>
      </c>
      <c r="D22" s="1" t="s">
        <v>9</v>
      </c>
      <c r="E22" s="1" t="s">
        <v>34</v>
      </c>
      <c r="F22" s="1">
        <f>IF(Table1[[#This Row],[ec]]="y",Table1[[#This Row],[Current Score]]+10,Table1[[#This Row],[Current Score]])</f>
        <v>77.63</v>
      </c>
      <c r="G22" s="1" t="s">
        <v>8</v>
      </c>
    </row>
    <row r="23" spans="1:7" x14ac:dyDescent="0.2">
      <c r="A23" t="s">
        <v>30</v>
      </c>
      <c r="B23" s="1">
        <v>89.5</v>
      </c>
      <c r="C23" s="1">
        <v>94.47</v>
      </c>
      <c r="D23" s="1" t="s">
        <v>25</v>
      </c>
      <c r="E23" s="1" t="s">
        <v>34</v>
      </c>
      <c r="F23" s="1">
        <f>IF(Table1[[#This Row],[ec]]="y",Table1[[#This Row],[Current Score]]+10,Table1[[#This Row],[Current Score]])</f>
        <v>104.47</v>
      </c>
      <c r="G23" s="1" t="s">
        <v>25</v>
      </c>
    </row>
    <row r="24" spans="1:7" x14ac:dyDescent="0.2">
      <c r="A24" t="s">
        <v>31</v>
      </c>
      <c r="B24" s="1">
        <v>91</v>
      </c>
      <c r="C24" s="1">
        <v>94.55</v>
      </c>
      <c r="D24" s="1" t="s">
        <v>25</v>
      </c>
      <c r="E24" s="1" t="s">
        <v>34</v>
      </c>
      <c r="F24" s="1">
        <f>IF(Table1[[#This Row],[ec]]="y",Table1[[#This Row],[Current Score]]+10,Table1[[#This Row],[Current Score]])</f>
        <v>104.55</v>
      </c>
      <c r="G24" s="1" t="s">
        <v>25</v>
      </c>
    </row>
    <row r="25" spans="1:7" x14ac:dyDescent="0.2">
      <c r="A25" t="s">
        <v>32</v>
      </c>
      <c r="B25" s="1">
        <v>93.5</v>
      </c>
      <c r="C25" s="1">
        <v>96.58</v>
      </c>
      <c r="D25" s="1" t="s">
        <v>25</v>
      </c>
      <c r="E25" s="1" t="s">
        <v>34</v>
      </c>
      <c r="F25" s="1">
        <f>IF(Table1[[#This Row],[ec]]="y",Table1[[#This Row],[Current Score]]+10,Table1[[#This Row],[Current Score]])</f>
        <v>106.58</v>
      </c>
      <c r="G25" s="1" t="s">
        <v>25</v>
      </c>
    </row>
  </sheetData>
  <conditionalFormatting sqref="E2:E25">
    <cfRule type="containsBlanks" dxfId="6" priority="1">
      <formula>LEN(TRIM(E2))=0</formula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2026-10-13T1546_Grades-HES-3000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Intern, Performance</cp:lastModifiedBy>
  <dcterms:created xsi:type="dcterms:W3CDTF">2026-10-13T20:47:16Z</dcterms:created>
  <dcterms:modified xsi:type="dcterms:W3CDTF">2026-10-14T00:26:57Z</dcterms:modified>
</cp:coreProperties>
</file>