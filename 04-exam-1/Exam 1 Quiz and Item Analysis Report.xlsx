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ryu/Documents/GitHub/HES-3000-Sports-Performance-Analytics/04-exam-1/"/>
    </mc:Choice>
  </mc:AlternateContent>
  <xr:revisionPtr revIDLastSave="0" documentId="13_ncr:1_{45857498-BB63-E447-9CC7-19FF4990C76B}" xr6:coauthVersionLast="47" xr6:coauthVersionMax="47" xr10:uidLastSave="{00000000-0000-0000-0000-000000000000}"/>
  <bookViews>
    <workbookView xWindow="0" yWindow="740" windowWidth="24320" windowHeight="18380" activeTab="1" xr2:uid="{39CFC490-CD87-4991-A730-77AE5E125ABB}"/>
  </bookViews>
  <sheets>
    <sheet name="Exam 1 Quiz and Item Analysis R"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c r="F16" i="2"/>
  <c r="F19" i="2"/>
  <c r="F13" i="2"/>
  <c r="F37" i="2"/>
  <c r="F36" i="2"/>
  <c r="F14" i="2"/>
  <c r="F40" i="2"/>
  <c r="F29" i="2"/>
  <c r="F25" i="2"/>
  <c r="F32" i="2"/>
  <c r="F39" i="2"/>
  <c r="F17" i="2"/>
  <c r="F15" i="2"/>
  <c r="F24" i="2"/>
  <c r="F31" i="2"/>
  <c r="F20" i="2"/>
  <c r="F6" i="2"/>
  <c r="F4" i="2"/>
  <c r="F27" i="2"/>
  <c r="F8" i="2"/>
  <c r="F22" i="2"/>
  <c r="F33" i="2"/>
  <c r="F34" i="2"/>
  <c r="F3" i="2"/>
  <c r="F2" i="2"/>
  <c r="F7" i="2"/>
  <c r="F30" i="2"/>
  <c r="F10" i="2"/>
  <c r="F21" i="2"/>
  <c r="F35" i="2"/>
  <c r="F28" i="2"/>
  <c r="F18" i="2"/>
  <c r="F38" i="2"/>
  <c r="F23" i="2"/>
  <c r="F12" i="2"/>
  <c r="F26" i="2"/>
  <c r="F9" i="2"/>
  <c r="F11" i="2"/>
  <c r="D5" i="2"/>
  <c r="D16" i="2"/>
  <c r="D19" i="2"/>
  <c r="D13" i="2"/>
  <c r="D37" i="2"/>
  <c r="D36" i="2"/>
  <c r="D14" i="2"/>
  <c r="D40" i="2"/>
  <c r="D29" i="2"/>
  <c r="D25" i="2"/>
  <c r="D32" i="2"/>
  <c r="D39" i="2"/>
  <c r="D17" i="2"/>
  <c r="D15" i="2"/>
  <c r="D24" i="2"/>
  <c r="D31" i="2"/>
  <c r="D20" i="2"/>
  <c r="D6" i="2"/>
  <c r="D4" i="2"/>
  <c r="D27" i="2"/>
  <c r="D8" i="2"/>
  <c r="D22" i="2"/>
  <c r="D33" i="2"/>
  <c r="D34" i="2"/>
  <c r="D3" i="2"/>
  <c r="D2" i="2"/>
  <c r="D7" i="2"/>
  <c r="D30" i="2"/>
  <c r="D10" i="2"/>
  <c r="D21" i="2"/>
  <c r="D35" i="2"/>
  <c r="D28" i="2"/>
  <c r="D18" i="2"/>
  <c r="D38" i="2"/>
  <c r="D23" i="2"/>
  <c r="D12" i="2"/>
  <c r="D26" i="2"/>
  <c r="D9" i="2"/>
  <c r="D11" i="2"/>
</calcChain>
</file>

<file path=xl/sharedStrings.xml><?xml version="1.0" encoding="utf-8"?>
<sst xmlns="http://schemas.openxmlformats.org/spreadsheetml/2006/main" count="362" uniqueCount="170">
  <si>
    <t>ReportGenerated</t>
  </si>
  <si>
    <t>QuizTitle</t>
  </si>
  <si>
    <t>QuizHighScore</t>
  </si>
  <si>
    <t>QuizLowScore</t>
  </si>
  <si>
    <t>QuizMeanScore</t>
  </si>
  <si>
    <t>QuizMedianScore</t>
  </si>
  <si>
    <t>QuizStandardDeviation</t>
  </si>
  <si>
    <t>QuizCronbachsAlpha</t>
  </si>
  <si>
    <t>QuizMeanElapsedTime</t>
  </si>
  <si>
    <t>ItemID</t>
  </si>
  <si>
    <t>Title</t>
  </si>
  <si>
    <t>ItemDifficulty</t>
  </si>
  <si>
    <t>PossiblePoints</t>
  </si>
  <si>
    <t>MeanEarnedPoints</t>
  </si>
  <si>
    <t>MedianEarnedPoints</t>
  </si>
  <si>
    <t>DiscriminationIndex</t>
  </si>
  <si>
    <t>CorrectedItemTotalCorrelation</t>
  </si>
  <si>
    <t>ItemType</t>
  </si>
  <si>
    <t>Correct</t>
  </si>
  <si>
    <t>Incorrect</t>
  </si>
  <si>
    <t>Graded</t>
  </si>
  <si>
    <t>NoResponse</t>
  </si>
  <si>
    <t>AnswerFrequencies</t>
  </si>
  <si>
    <t>2026-10-07T21:11:31Z</t>
  </si>
  <si>
    <t>Exam 1</t>
  </si>
  <si>
    <t>74.28260869565217</t>
  </si>
  <si>
    <t>13.244216200286235</t>
  </si>
  <si>
    <t>0.7996373873854712</t>
  </si>
  <si>
    <t>l3</t>
  </si>
  <si>
    <t>0.5652173913043478</t>
  </si>
  <si>
    <t>1.1304347826086956</t>
  </si>
  <si>
    <t>0.3571428571428571</t>
  </si>
  <si>
    <t>0.11401008761350576</t>
  </si>
  <si>
    <t>choice</t>
  </si>
  <si>
    <t>N/A</t>
  </si>
  <si>
    <t>{"answers":[{"answer":"Confirm causal claims","count":2,"correct":false},{"answer":"&lt;p&gt;Generate questions to test&lt;/p&gt;","count":13,"correct":true},{"answer":"Deploy final decisions","count":1,"correct":false},{"answer":"Eliminate uncertainty","count":7,"correct":false}]}</t>
  </si>
  <si>
    <t>l2</t>
  </si>
  <si>
    <t>0.34782608695652173</t>
  </si>
  <si>
    <t>0.6956521739130435</t>
  </si>
  <si>
    <t>0.40476190476190477</t>
  </si>
  <si>
    <t>0.29149635725415224</t>
  </si>
  <si>
    <t>{"answers":[{"answer":"Descriptive","count":0,"correct":false},{"answer":"Diagnostic","count":1,"correct":false},{"answer":"Predictive","count":14,"correct":false},{"answer":"Prescriptive","count":8,"correct":true}]}</t>
  </si>
  <si>
    <t>l4</t>
  </si>
  <si>
    <t>1.391304347826087</t>
  </si>
  <si>
    <t>0.33858398366378945</t>
  </si>
  <si>
    <t>{"answers":[{"answer":"Wearable technology","count":2,"correct":false},{"answer":"Lab-based metabolic measure","count":2,"correct":false},{"answer":"Optical tracking systems","count":3,"correct":false},{"answer":"Observational scouting","count":16,"correct":true}]}</t>
  </si>
  <si>
    <t>l1</t>
  </si>
  <si>
    <t>0.7391304347826086</t>
  </si>
  <si>
    <t>1.4782608695652173</t>
  </si>
  <si>
    <t>0.023809523809523725</t>
  </si>
  <si>
    <t>{"answers":[{"answer":"&lt;p&gt;Bill James published his influential critiques in the 1970s, roughly 30 years before the events popularized as \"Moneyball\".&lt;/p&gt;","count":18,"correct":true},{"answer":"&lt;p&gt;The Athletics achieved ultimate championship victory, proving that data-driven payroll constraints guarantee a title.&lt;/p&gt;","count":0,"correct":false},{"answer":"&lt;p&gt;Because the Athletics' approach failed completely, teams abandoned data analytics for decades afterward.&lt;/p&gt;","count":0,"correct":false},{"answer":"&lt;p&gt;Widespread adoption of market inefficiencies permanently locks in a team's competitive advantage without needing further adaptation.&lt;/p&gt;","count":5,"correct":false}]}</t>
  </si>
  <si>
    <t>l4 -app</t>
  </si>
  <si>
    <t>0.6086956521739131</t>
  </si>
  <si>
    <t>1.2173913043478262</t>
  </si>
  <si>
    <t>0.5238095238095237</t>
  </si>
  <si>
    <t>0.3394938482737357</t>
  </si>
  <si>
    <t>{"answers":[{"answer":"Box scores are less accurate than tracking data because they are recorded manually","count":5,"correct":false},{"answer":"&lt;p&gt;Tracking data is higher in volume and frequency and introduces greater risk of error if validation is not conducted&lt;/p&gt;","count":14,"correct":true},{"answer":"Box scores capture more dimensions of performance than tracking data","count":2,"correct":false},{"answer":"&lt;p&gt;Tracking data eliminates the need for focused research question because it measures everything automatically&lt;/p&gt;","count":2,"correct":false}]}</t>
  </si>
  <si>
    <t>0.9565217391304348</t>
  </si>
  <si>
    <t>1.9130434782608696</t>
  </si>
  <si>
    <t>0.1353575535096537</t>
  </si>
  <si>
    <t>{"answers":[{"answer":"Treating a prescriptive question as descriptive","count":1,"correct":false},{"answer":"Confusing pattern recognition with causation","count":22,"correct":true},{"answer":"Using the wrong visualization type","count":0,"correct":false},{"answer":"Ignoring data reliability","count":0,"correct":false}]}</t>
  </si>
  <si>
    <t>l8</t>
  </si>
  <si>
    <t>0.9130434782608695</t>
  </si>
  <si>
    <t>1.826086956521739</t>
  </si>
  <si>
    <t>{"answers":[{"answer":"The importance of using the median over the mean","count":1,"correct":false},{"answer":"&lt;p&gt;Details that descriptive statistics can hide which visualization can reveal&lt;/p&gt;","count":21,"correct":true},{"answer":"The difference between cross-sectional and longitudinal data","count":1,"correct":false},{"answer":"What Steph's face would look like as a shot chart","count":0,"correct":false}]}</t>
  </si>
  <si>
    <t>l6</t>
  </si>
  <si>
    <t>0.5217391304347826</t>
  </si>
  <si>
    <t>2.217391304347826</t>
  </si>
  <si>
    <t>rich-fill-blank</t>
  </si>
  <si>
    <t>{"blanks":[{"blank_text":"wide","blank_type":"dropdown","no_answer":0,"answers":[{"answer":"long","correct":false,"count":6},{"answer":"wide","correct":true,"count":17}]},{"blank_text":"compact representation and calculations across columns","blank_type":"dropdown","no_answer":0,"answers":[{"answer":"compact representation and calculations across columns","correct":true,"count":17},{"answer":"creating visualizations and using statisical programs","correct":false,"count":6}]}]}</t>
  </si>
  <si>
    <t>Untitled item</t>
  </si>
  <si>
    <t>{"answers":[{"answer":"&lt;p&gt;Scouting and talent evaluation&lt;/p&gt;","count":0,"correct":false},{"answer":"&lt;p&gt;Athlete tracking and monitoring&lt;/p&gt;","count":23,"correct":true},{"answer":"&lt;p&gt;Strategy and tactical analysis&lt;/p&gt;","count":0,"correct":false},{"answer":"&lt;p&gt;Player recruitment and roster construction&lt;/p&gt;","count":0,"correct":false}]}</t>
  </si>
  <si>
    <t>0.8260869565217391</t>
  </si>
  <si>
    <t>1.6521739130434783</t>
  </si>
  <si>
    <t>{"answers":[{"answer":"Ratio","count":0,"correct":false},{"answer":"Interval","count":0,"correct":false},{"answer":"Nominal","count":19,"correct":true},{"answer":"Ordinal","count":4,"correct":false}]}</t>
  </si>
  <si>
    <t>1.565217391304348</t>
  </si>
  <si>
    <t>0.33333333333333337</t>
  </si>
  <si>
    <t>0.20668885067318474</t>
  </si>
  <si>
    <t>{"answers":[{"answer":"The data contains errors","count":1,"correct":false},{"answer":"A few very high-scoring games are pulling the mean upward","count":18,"correct":true},{"answer":"The standard deviation is low","count":4,"correct":false},{"answer":"The data is normally distributed","count":0,"correct":false}]}</t>
  </si>
  <si>
    <t>0.8695652173913043</t>
  </si>
  <si>
    <t>1.7391304347826086</t>
  </si>
  <si>
    <t>0.22839960606880028</t>
  </si>
  <si>
    <t>{"answers":[{"answer":"&lt;p&gt;Data dredging&lt;/p&gt;","count":2,"correct":false},{"answer":"&lt;p&gt;Streetlight effect&lt;/p&gt;","count":20,"correct":true},{"answer":"&lt;p&gt;Spurious correlation&lt;/p&gt;","count":1,"correct":false},{"answer":"&lt;p&gt;Simpson's paradox&lt;/p&gt;","count":0,"correct":false}]}</t>
  </si>
  <si>
    <t>{"answers":[{"answer":"They cannot be used to compare groups","count":1,"correct":false},{"answer":"They can hide outliers, distributional shape, and individual-level trends","count":22,"correct":true},{"answer":"&lt;p&gt;They require continuous numerical data&lt;/p&gt;","count":0,"correct":false},{"answer":"They are only appropriate for longitudinal datasets","count":0,"correct":false}]}</t>
  </si>
  <si>
    <t>0.6904761904761905</t>
  </si>
  <si>
    <t>0.5440153699166661</t>
  </si>
  <si>
    <t>{"answers":[{"answer":"&lt;p&gt;Mean&lt;/p&gt;","count":0,"correct":false},{"answer":"&lt;p&gt;Median&lt;/p&gt;","count":5,"correct":false},{"answer":"&lt;p&gt;Standard deviation&lt;/p&gt;","count":16,"correct":true},{"answer":"&lt;p&gt;Range&lt;/p&gt;","count":2,"correct":false}]}</t>
  </si>
  <si>
    <t>l5</t>
  </si>
  <si>
    <t>0.6521739130434783</t>
  </si>
  <si>
    <t>1.3043478260869565</t>
  </si>
  <si>
    <t>0.6666666666666667</t>
  </si>
  <si>
    <t>0.49282511761582765</t>
  </si>
  <si>
    <t>{"answers":[{"answer":"A GPS tracking system consistently overestimates sprint distance by 10% for all athletes.","count":4,"correct":false},{"answer":"A survey question fails to measure athlete motivation accurately.","count":1,"correct":false},{"answer":"A biomechanics analysis device is calibrated incorrectly and produces biased values.","count":3,"correct":false},{"answer":"The same athlete reports different exertion level (RPE) to two coaches for the identical workout.","count":15,"correct":true}]}</t>
  </si>
  <si>
    <t>0.3846099187287087</t>
  </si>
  <si>
    <t>{"answers":[{"answer":"Consistency across repeated assessments","count":4,"correct":false},{"answer":"Whether a measure captures what it is intended to capture","count":18,"correct":true},{"answer":"Completeness of a dataset","count":0,"correct":false},{"answer":"Absence of outliers","count":1,"correct":false}]}</t>
  </si>
  <si>
    <t>0.16666666666666663</t>
  </si>
  <si>
    <t>0.14384637737433037</t>
  </si>
  <si>
    <t>{"answers":[{"answer":"Selecting the most advanced statistical model","count":0,"correct":false},{"answer":"A well-defined, stakeholder-oriented question","count":20,"correct":true},{"answer":"Gathering the largest dataset available","count":0,"correct":false},{"answer":"Running exploratory visualizations first","count":3,"correct":false}]}</t>
  </si>
  <si>
    <t>0.5908787749518534</t>
  </si>
  <si>
    <t>{"answers":[{"answer":"&lt;p&gt;The athlete has successfully improved their high-speed running capacity by 1%.&lt;/p&gt;","count":1,"correct":false},{"answer":"&lt;p&gt;The observed change is smaller than the measurement error, so we cannot distinguish meaningful change in recorded running distance from random measurement noise.&lt;/p&gt;","count":17,"correct":true},{"answer":"&lt;p&gt;The device completely lacks validity, so the data is systematically biased.&lt;/p&gt;","count":4,"correct":false},{"answer":"&lt;p&gt;&lt;span&gt;The athlete is experiencing neuromuscular fatigue and needs to be rested immediately&lt;/span&gt;&lt;span&gt;.&lt;/span&gt;&amp;nbsp;&lt;/p&gt;","count":1,"correct":false}]}</t>
  </si>
  <si>
    <t>l7</t>
  </si>
  <si>
    <t>0.11904761904761904</t>
  </si>
  <si>
    <t>0.13822884017030898</t>
  </si>
  <si>
    <t>{"answers":[{"answer":"Stacked bar chart","count":15,"correct":false},{"answer":"Line chart","count":0,"correct":false},{"answer":"Scatterplot","count":8,"correct":true},{"answer":"Box plot","count":0,"correct":false}]}</t>
  </si>
  <si>
    <t>Question</t>
  </si>
  <si>
    <t>6.608695652173913</t>
  </si>
  <si>
    <t>0.3781580121297473</t>
  </si>
  <si>
    <t>essay</t>
  </si>
  <si>
    <t>{"scores":[{"score":4,"count":8},{"score":8,"count":15}]}</t>
  </si>
  <si>
    <t>0.5751892018624787</t>
  </si>
  <si>
    <t>{"answers":[{"answer":"&lt;p&gt;They completely lack technological expertise or advanced tools&lt;/p&gt;","count":0,"correct":false},{"answer":"&lt;p&gt;They involve financial costs, unclear algorithms, and vendor dependence&lt;/p&gt;","count":18,"correct":true},{"answer":"&lt;p&gt;They restrict data collection strictly to small-sample academic contexts&lt;/p&gt;","count":0,"correct":false},{"answer":"&lt;p&gt;They rely entirely on subjective observer judgment and manual video coding&lt;/p&gt;","count":5,"correct":false}]}</t>
  </si>
  <si>
    <t>l9</t>
  </si>
  <si>
    <t>1.7173913043478262</t>
  </si>
  <si>
    <t>0.38417671188274594</t>
  </si>
  <si>
    <t>{"scores":[{"score":0,"count":6},{"score":1,"count":2},{"score":1.5,"count":1},{"score":2,"count":5},{"score":2.5,"count":2},{"score":3,"count":7}]}</t>
  </si>
  <si>
    <t>0.38294685784533616</t>
  </si>
  <si>
    <t>{"answers":[{"answer":"A color palette with 10 different colors","count":2,"correct":false},{"answer":"Pre-attentive attributes like position and enclosure","count":17,"correct":true},{"answer":"A radar chart showing multiple dimensions","count":1,"correct":false},{"answer":"A pie chart for part-to-whole comparison","count":3,"correct":false}]}</t>
  </si>
  <si>
    <t>0.43538967342547297</t>
  </si>
  <si>
    <t>{"answers":[{"answer":"&lt;p&gt;Raw counts completely eliminate the need for categorical variable encoding.&lt;/p&gt;","count":1,"correct":false},{"answer":"&lt;p&gt;Proportions allow us to compare outcome percentages when the numbers of games differ.&lt;/p&gt;","count":20,"correct":true},{"answer":"&lt;p&gt;Proportions automatically convert categorical data into continuous numerical distributions.&lt;/p&gt;","count":2,"correct":false},{"answer":"&lt;p&gt;Raw counts can only be visualized using scatterplots.&lt;/p&gt;","count":0,"correct":false}]}</t>
  </si>
  <si>
    <t>0.32377513172295685</t>
  </si>
  <si>
    <t>{"answers":[{"answer":"&lt;p&gt;Descriptive&lt;/p&gt;","count":1,"correct":false},{"answer":"&lt;p&gt;Predictive&lt;/p&gt;","count":1,"correct":false},{"answer":"&lt;p&gt;Diagnostic&lt;/p&gt;","count":20,"correct":true},{"answer":"&lt;p&gt;Prescriptive&lt;/p&gt;","count":1,"correct":false}]}</t>
  </si>
  <si>
    <t>6.413043478260869</t>
  </si>
  <si>
    <t>0.7142857142857143</t>
  </si>
  <si>
    <t>0.42043249143404027</t>
  </si>
  <si>
    <t>{"scores":[{"score":0,"count":2},{"score":3,"count":1},{"score":4,"count":1},{"score":5,"count":1},{"score":6,"count":3},{"score":7,"count":2},{"score":7.5,"count":1},{"score":8,"count":12}]}</t>
  </si>
  <si>
    <t>0.2608695652173913</t>
  </si>
  <si>
    <t>5.760869565217392</t>
  </si>
  <si>
    <t>0.5714285714285714</t>
  </si>
  <si>
    <t>{"scores":[{"score":2,"count":1},{"score":3,"count":2},{"score":4,"count":6},{"score":5,"count":1},{"score":6,"count":2},{"score":7,"count":4},{"score":7.5,"count":1},{"score":8,"count":6}]}</t>
  </si>
  <si>
    <t>0.42857142857142855</t>
  </si>
  <si>
    <t>0.24121944295141076</t>
  </si>
  <si>
    <t>{"answers":[{"answer":"&lt;p&gt;Color intensity&lt;/p&gt;","count":1,"correct":false},{"answer":"&lt;p&gt;Length&lt;/p&gt;","count":0,"correct":false},{"answer":"&lt;p&gt;Color hue&lt;/p&gt;","count":8,"correct":true},{"answer":"&lt;p&gt;all of the above&lt;/p&gt;","count":14,"correct":false}]}</t>
  </si>
  <si>
    <t>0.5139324165112292</t>
  </si>
  <si>
    <t>{"answers":[{"answer":"&lt;p&gt;&lt;span&gt; Because direct measurement of the actual concept is unavailable, impractical, or too costly, requiring an observable stand-in&lt;/span&gt;&lt;span&gt;.&lt;/span&gt;&amp;nbsp;&lt;/p&gt;","count":19,"correct":true},{"answer":"&lt;p&gt;&lt;span&gt;Because proxy data completely eliminates all sources of measurement error and bias&lt;/span&gt;&lt;span&gt;.&lt;/span&gt;&lt;/p&gt;","count":0,"correct":false},{"answer":"&lt;p&gt;&lt;span&gt;Because league and competition providers mandate that all internal metrics must use derived variables&lt;/span&gt;&lt;span&gt;.&lt;/span&gt;&amp;nbsp;&lt;/p&gt;","count":0,"correct":false},{"answer":"&lt;p&gt;&lt;span&gt; Because proxy measures automatically guarantee high validity compared to human observation&lt;/span&gt;&lt;span&gt;.&lt;/span&gt;&amp;nbsp;&lt;/p&gt;","count":4,"correct":false}]}</t>
  </si>
  <si>
    <t>0.18807881655111613</t>
  </si>
  <si>
    <t>{"answers":[{"answer":"Counting frequencies","count":7,"correct":false},{"answer":"Ranking from highest to lowest","count":0,"correct":false},{"answer":"Computing a mean","count":9,"correct":true},{"answer":"Identifying the most common category","count":7,"correct":false}]}</t>
  </si>
  <si>
    <t>0.3908373493231127</t>
  </si>
  <si>
    <t>{"answers":[{"answer":"&lt;p&gt;Volume with 3d shapes&lt;/p&gt;","count":2,"correct":false},{"answer":"&lt;p&gt;Color intensity&lt;/p&gt;","count":2,"correct":false},{"answer":"Position along a common scale","count":17,"correct":true},{"answer":"&lt;p&gt;Angles&lt;/p&gt;","count":2,"correct":false}]}</t>
  </si>
  <si>
    <t>0.34210847144654544</t>
  </si>
  <si>
    <t>{"answers":[{"answer":"&lt;p&gt;Streetlight effect&lt;/p&gt;","count":0,"correct":false},{"answer":"&lt;p&gt;Simpson's paradox&lt;/p&gt;","count":21,"correct":true},{"answer":"&lt;p&gt;Spurious correlation&lt;/p&gt;","count":0,"correct":false},{"answer":"&lt;p&gt;Data dreging&lt;/p&gt;","count":2,"correct":false}]}</t>
  </si>
  <si>
    <t>{"answers":[{"answer":"Bar chart","count":1,"correct":false},{"answer":"Histogram","count":4,"correct":false},{"answer":"Line chart","count":18,"correct":true},{"answer":"Treemap","count":0,"correct":false}]}</t>
  </si>
  <si>
    <t>0.11345623503613413</t>
  </si>
  <si>
    <t>{"answers":[{"answer":"&lt;p&gt;Scatterplot&lt;/p&gt;","count":3,"correct":false},{"answer":"&lt;p&gt;Bar chart&lt;/p&gt;","count":16,"correct":true},{"answer":"&lt;p&gt;Line chart&lt;/p&gt;","count":1,"correct":false},{"answer":"&lt;p&gt;Histogram&lt;/p&gt;","count":3,"correct":false}]}</t>
  </si>
  <si>
    <t>0.15973637368686205</t>
  </si>
  <si>
    <t>{"answers":[{"answer":"&lt;p&gt;The digital measurement revolution marked the beginning of systematic measurement and manual analysis&lt;/p&gt;","count":0,"correct":false},{"answer":"&lt;p&gt;Modern sports analytics is exclusively focused on scouting and has largely phased out integration with sports medicine and coaching&lt;/p&gt;","count":1,"correct":false},{"answer":"&lt;p&gt;The digital measurement revolution significantly increased both the depth and breadth of available data through new measurement technology&lt;/p&gt;","count":22,"correct":true},{"answer":"&lt;p&gt;&lt;span&gt;Outside analysts began challenging convention only after the modern era of sports analytics was fully established&lt;/span&gt;&lt;span&gt;.&lt;/span&gt;&lt;/p&gt;","count":0,"correct":false}]}</t>
  </si>
  <si>
    <t>0.3887954730551283</t>
  </si>
  <si>
    <t>{"answers":[{"answer":"&lt;p&gt;Availability&lt;/p&gt;","count":1,"correct":false},{"answer":"Player position","count":1,"correct":false},{"answer":"&lt;p&gt;Jump height&lt;/p&gt;","count":18,"correct":true},{"answer":"Game date","count":3,"correct":false}]}</t>
  </si>
  <si>
    <t>0.13092095630353087</t>
  </si>
  <si>
    <t>{"answers":[{"answer":"&lt;p&gt;Histogram&lt;/p&gt;","count":1,"correct":false},{"answer":"&lt;p&gt;100% stacked bar chart&lt;/p&gt;","count":13,"correct":true},{"answer":"&lt;p&gt;Scatterplot&lt;/p&gt;","count":1,"correct":false},{"answer":"&lt;p&gt;Bar chart&lt;/p&gt;","count":8,"correct":false}]}</t>
  </si>
  <si>
    <t>0.19047619047619047</t>
  </si>
  <si>
    <t>0.11717557967745976</t>
  </si>
  <si>
    <t>{"answers":[{"answer":"Bar chart","count":2,"correct":false},{"answer":"Scatterplot","count":3,"correct":false},{"answer":"Line chart","count":0,"correct":false},{"answer":"Histogram","count":18,"correct":true}]}</t>
  </si>
  <si>
    <t>2.782608695652174</t>
  </si>
  <si>
    <t>0.5476190476190477</t>
  </si>
  <si>
    <t>0.49793085179588237</t>
  </si>
  <si>
    <t>{"scores":[{"score":0,"count":3},{"score":2,"count":8},{"score":4,"count":12}]}</t>
  </si>
  <si>
    <t>mean_delta</t>
  </si>
  <si>
    <t>median_delta</t>
  </si>
  <si>
    <t>A front office analyst is asked to recommend which free agents to sign based on projected impact. This is best described as:</t>
  </si>
  <si>
    <t>question</t>
  </si>
  <si>
    <t>Which statistical operation is NOT valid for ordinal data?</t>
  </si>
  <si>
    <t>An analyst wants to show the relationship between training load and injury risk (as a percentage) across a dataset with data for 50 athletes. The most appropriate chart is:</t>
  </si>
  <si>
    <t>Which pre-attentive visual attribute is most appropriate for encoding unordered categorical data, such as distinguishing between different player positions on a chart?</t>
  </si>
  <si>
    <t>When examining a scatterplot to analyze the relationship between two numerical variables, what key features or patterns should you look for and describe? List and briefly explain two.</t>
  </si>
  <si>
    <t>A sports scientist collects 40-yard dash times (in seconds) from 30 NFL draft prospects.</t>
  </si>
  <si>
    <t>Name one ethical consideration mentioned in class (1 pt). Discuss how it is relevant to sports performance analytics and how it might influence how an analyst does their work (3 pts).</t>
  </si>
  <si>
    <t xml:space="preserve">A college football program uses self-reported sleep hours as a key variable in their recovery tracking. Self-reported measures can introduce issues of validity and reliability in analytics. </t>
  </si>
  <si>
    <t>Examine the visualization provided.</t>
  </si>
  <si>
    <t>Exploratory analysis is primarily used to:</t>
  </si>
  <si>
    <t>Which visualization best shows how each team’s shot attempts are divided among three shot types, with each team’s bar representing total attempts?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</si>
</sst>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21" fontId="0" fillId="0" borderId="0" xfId="0" applyNumberFormat="1"/>
    <xf numFmtId="2" fontId="0" fillId="0" borderId="0" xfId="0" applyNumberFormat="1"/>
    <xf numFmtId="164" fontId="0" fillId="0" borderId="0" xfId="0" applyNumberFormat="1"/>
    <xf numFmtId="0" fontId="0" fillId="0" borderId="0" xfId="0" applyAlignment="1"/>
    <xf numFmtId="164"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0.0"/>
      <alignment horizontal="general" vertical="bottom" textRotation="0" wrapText="0" indent="0" justifyLastLine="0" shrinkToFit="0" readingOrder="0"/>
    </dxf>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86532-0599-41B3-97D0-F9C5423326CA}" name="Table1" displayName="Table1" ref="A1:H40" totalsRowShown="0">
  <autoFilter ref="A1:H40" xr:uid="{00086532-0599-41B3-97D0-F9C5423326CA}"/>
  <sortState xmlns:xlrd2="http://schemas.microsoft.com/office/spreadsheetml/2017/richdata2" ref="A2:H40">
    <sortCondition descending="1" ref="D1:D40"/>
  </sortState>
  <tableColumns count="8">
    <tableColumn id="1" xr3:uid="{244E0084-6B7A-4AED-9978-C84E27B20611}" name="ItemID"/>
    <tableColumn id="2" xr3:uid="{8DBA8F66-84F6-4E73-B810-10A4BD9C76CC}" name="PossiblePoints"/>
    <tableColumn id="3" xr3:uid="{53139CA2-F7E3-4192-8596-8ED63465066D}" name="MeanEarnedPoints" dataDxfId="3"/>
    <tableColumn id="4" xr3:uid="{31330552-C950-40D5-AE61-E5CA14DD5997}" name="mean_delta" dataDxfId="2">
      <calculatedColumnFormula>B2-C2</calculatedColumnFormula>
    </tableColumn>
    <tableColumn id="5" xr3:uid="{034FF6DE-4A01-4105-922D-A8A4421F35BE}" name="MedianEarnedPoints"/>
    <tableColumn id="6" xr3:uid="{06CA31E4-5872-4FF5-9B2A-51AB725388BB}" name="median_delta" dataDxfId="1">
      <calculatedColumnFormula>B2-E2</calculatedColumnFormula>
    </tableColumn>
    <tableColumn id="8" xr3:uid="{180078E9-A986-4DD2-A495-D09E910023B7}" name="question" dataDxfId="0"/>
    <tableColumn id="7" xr3:uid="{F18D0A5F-6190-4FEF-A7F8-C217AA1CB0B6}" name="AnswerFrequencie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FE5B-29C6-4E37-9BFC-632C3566FAAA}">
  <dimension ref="A1:W41"/>
  <sheetViews>
    <sheetView workbookViewId="0">
      <selection activeCell="W1" sqref="W1:W1048576"/>
    </sheetView>
  </sheetViews>
  <sheetFormatPr baseColWidth="10" defaultColWidth="8.83203125" defaultRowHeight="15"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v>93.5</v>
      </c>
      <c r="D2">
        <v>45.5</v>
      </c>
      <c r="E2" s="1" t="s">
        <v>25</v>
      </c>
      <c r="F2">
        <v>76.5</v>
      </c>
      <c r="G2" s="1" t="s">
        <v>26</v>
      </c>
      <c r="H2" s="1" t="s">
        <v>27</v>
      </c>
      <c r="I2" s="2">
        <v>3.3425925925925928E-2</v>
      </c>
    </row>
    <row r="3" spans="1:23" x14ac:dyDescent="0.2">
      <c r="J3">
        <v>353182</v>
      </c>
      <c r="K3" t="s">
        <v>28</v>
      </c>
      <c r="L3" s="1" t="s">
        <v>29</v>
      </c>
      <c r="M3">
        <v>2</v>
      </c>
      <c r="N3" s="1" t="s">
        <v>30</v>
      </c>
      <c r="O3">
        <v>2</v>
      </c>
      <c r="P3" s="1" t="s">
        <v>31</v>
      </c>
      <c r="Q3" s="1" t="s">
        <v>32</v>
      </c>
      <c r="R3" t="s">
        <v>33</v>
      </c>
      <c r="S3">
        <v>13</v>
      </c>
      <c r="T3">
        <v>10</v>
      </c>
      <c r="U3" t="s">
        <v>34</v>
      </c>
      <c r="V3">
        <v>0</v>
      </c>
      <c r="W3" t="s">
        <v>35</v>
      </c>
    </row>
    <row r="4" spans="1:23" x14ac:dyDescent="0.2">
      <c r="J4">
        <v>353178</v>
      </c>
      <c r="K4" t="s">
        <v>36</v>
      </c>
      <c r="L4" s="1" t="s">
        <v>37</v>
      </c>
      <c r="M4">
        <v>2</v>
      </c>
      <c r="N4" s="1" t="s">
        <v>38</v>
      </c>
      <c r="O4">
        <v>0</v>
      </c>
      <c r="P4" s="1" t="s">
        <v>39</v>
      </c>
      <c r="Q4" s="1" t="s">
        <v>40</v>
      </c>
      <c r="R4" t="s">
        <v>33</v>
      </c>
      <c r="S4">
        <v>8</v>
      </c>
      <c r="T4">
        <v>15</v>
      </c>
      <c r="U4" t="s">
        <v>34</v>
      </c>
      <c r="V4">
        <v>0</v>
      </c>
      <c r="W4" t="s">
        <v>41</v>
      </c>
    </row>
    <row r="5" spans="1:23" x14ac:dyDescent="0.2">
      <c r="J5">
        <v>353197</v>
      </c>
      <c r="K5" t="s">
        <v>42</v>
      </c>
      <c r="L5" s="1" t="s">
        <v>38</v>
      </c>
      <c r="M5">
        <v>2</v>
      </c>
      <c r="N5" s="1" t="s">
        <v>43</v>
      </c>
      <c r="O5">
        <v>2</v>
      </c>
      <c r="P5" s="1" t="s">
        <v>31</v>
      </c>
      <c r="Q5" s="1" t="s">
        <v>44</v>
      </c>
      <c r="R5" t="s">
        <v>33</v>
      </c>
      <c r="S5">
        <v>16</v>
      </c>
      <c r="T5">
        <v>7</v>
      </c>
      <c r="U5" t="s">
        <v>34</v>
      </c>
      <c r="V5">
        <v>0</v>
      </c>
      <c r="W5" t="s">
        <v>45</v>
      </c>
    </row>
    <row r="6" spans="1:23" x14ac:dyDescent="0.2">
      <c r="J6">
        <v>353203</v>
      </c>
      <c r="K6" t="s">
        <v>46</v>
      </c>
      <c r="L6" s="1" t="s">
        <v>47</v>
      </c>
      <c r="M6">
        <v>2</v>
      </c>
      <c r="N6" s="1" t="s">
        <v>48</v>
      </c>
      <c r="O6">
        <v>2</v>
      </c>
      <c r="P6" s="1" t="s">
        <v>49</v>
      </c>
      <c r="Q6">
        <v>5.8867311422892601E-2</v>
      </c>
      <c r="R6" t="s">
        <v>33</v>
      </c>
      <c r="S6">
        <v>17</v>
      </c>
      <c r="T6">
        <v>6</v>
      </c>
      <c r="U6" t="s">
        <v>34</v>
      </c>
      <c r="V6">
        <v>0</v>
      </c>
      <c r="W6" t="s">
        <v>50</v>
      </c>
    </row>
    <row r="7" spans="1:23" x14ac:dyDescent="0.2">
      <c r="J7">
        <v>353193</v>
      </c>
      <c r="K7" t="s">
        <v>51</v>
      </c>
      <c r="L7" s="1" t="s">
        <v>52</v>
      </c>
      <c r="M7">
        <v>2</v>
      </c>
      <c r="N7" s="1" t="s">
        <v>53</v>
      </c>
      <c r="O7">
        <v>2</v>
      </c>
      <c r="P7" s="1" t="s">
        <v>54</v>
      </c>
      <c r="Q7" s="1" t="s">
        <v>55</v>
      </c>
      <c r="R7" t="s">
        <v>33</v>
      </c>
      <c r="S7">
        <v>14</v>
      </c>
      <c r="T7">
        <v>9</v>
      </c>
      <c r="U7" t="s">
        <v>34</v>
      </c>
      <c r="V7">
        <v>0</v>
      </c>
      <c r="W7" t="s">
        <v>56</v>
      </c>
    </row>
    <row r="8" spans="1:23" x14ac:dyDescent="0.2">
      <c r="J8">
        <v>353176</v>
      </c>
      <c r="K8" t="s">
        <v>28</v>
      </c>
      <c r="L8" s="1" t="s">
        <v>57</v>
      </c>
      <c r="M8">
        <v>2</v>
      </c>
      <c r="N8" s="1" t="s">
        <v>58</v>
      </c>
      <c r="O8">
        <v>2</v>
      </c>
      <c r="P8">
        <v>0</v>
      </c>
      <c r="Q8" s="1" t="s">
        <v>59</v>
      </c>
      <c r="R8" t="s">
        <v>33</v>
      </c>
      <c r="S8">
        <v>22</v>
      </c>
      <c r="T8">
        <v>1</v>
      </c>
      <c r="U8" t="s">
        <v>34</v>
      </c>
      <c r="V8">
        <v>0</v>
      </c>
      <c r="W8" t="s">
        <v>60</v>
      </c>
    </row>
    <row r="9" spans="1:23" x14ac:dyDescent="0.2">
      <c r="J9">
        <v>353218</v>
      </c>
      <c r="K9" t="s">
        <v>61</v>
      </c>
      <c r="L9" s="1" t="s">
        <v>62</v>
      </c>
      <c r="M9">
        <v>2</v>
      </c>
      <c r="N9" s="1" t="s">
        <v>63</v>
      </c>
      <c r="O9">
        <v>2</v>
      </c>
      <c r="P9">
        <v>-0.28571428571428498</v>
      </c>
      <c r="Q9">
        <v>-0.288965501037663</v>
      </c>
      <c r="R9" t="s">
        <v>33</v>
      </c>
      <c r="S9">
        <v>21</v>
      </c>
      <c r="T9">
        <v>2</v>
      </c>
      <c r="U9" t="s">
        <v>34</v>
      </c>
      <c r="V9">
        <v>0</v>
      </c>
      <c r="W9" t="s">
        <v>64</v>
      </c>
    </row>
    <row r="10" spans="1:23" x14ac:dyDescent="0.2">
      <c r="J10">
        <v>353208</v>
      </c>
      <c r="K10" t="s">
        <v>65</v>
      </c>
      <c r="L10" s="1" t="s">
        <v>66</v>
      </c>
      <c r="M10">
        <v>3</v>
      </c>
      <c r="N10" s="1" t="s">
        <v>67</v>
      </c>
      <c r="O10">
        <v>3</v>
      </c>
      <c r="P10">
        <v>7.1428571428571397E-2</v>
      </c>
      <c r="Q10">
        <v>4.4399146721717997E-3</v>
      </c>
      <c r="R10" t="s">
        <v>68</v>
      </c>
      <c r="S10">
        <v>12</v>
      </c>
      <c r="T10">
        <v>11</v>
      </c>
      <c r="U10" t="s">
        <v>34</v>
      </c>
      <c r="V10">
        <v>0</v>
      </c>
      <c r="W10" t="s">
        <v>69</v>
      </c>
    </row>
    <row r="11" spans="1:23" x14ac:dyDescent="0.2">
      <c r="J11">
        <v>405565</v>
      </c>
      <c r="K11" t="s">
        <v>70</v>
      </c>
      <c r="L11">
        <v>1</v>
      </c>
      <c r="M11">
        <v>2</v>
      </c>
      <c r="N11">
        <v>2</v>
      </c>
      <c r="O11">
        <v>2</v>
      </c>
      <c r="P11">
        <v>0</v>
      </c>
      <c r="Q11" t="s">
        <v>34</v>
      </c>
      <c r="R11" t="s">
        <v>33</v>
      </c>
      <c r="S11">
        <v>23</v>
      </c>
      <c r="T11">
        <v>0</v>
      </c>
      <c r="U11" t="s">
        <v>34</v>
      </c>
      <c r="V11">
        <v>0</v>
      </c>
      <c r="W11" t="s">
        <v>71</v>
      </c>
    </row>
    <row r="12" spans="1:23" x14ac:dyDescent="0.2">
      <c r="J12">
        <v>353184</v>
      </c>
      <c r="K12" t="s">
        <v>65</v>
      </c>
      <c r="L12" s="1" t="s">
        <v>72</v>
      </c>
      <c r="M12">
        <v>2</v>
      </c>
      <c r="N12" s="1" t="s">
        <v>73</v>
      </c>
      <c r="O12">
        <v>2</v>
      </c>
      <c r="P12">
        <v>-0.28571428571428498</v>
      </c>
      <c r="Q12">
        <v>-0.15884937085412701</v>
      </c>
      <c r="R12" t="s">
        <v>33</v>
      </c>
      <c r="S12">
        <v>19</v>
      </c>
      <c r="T12">
        <v>4</v>
      </c>
      <c r="U12" t="s">
        <v>34</v>
      </c>
      <c r="V12">
        <v>0</v>
      </c>
      <c r="W12" t="s">
        <v>74</v>
      </c>
    </row>
    <row r="13" spans="1:23" x14ac:dyDescent="0.2">
      <c r="J13">
        <v>353219</v>
      </c>
      <c r="K13" t="s">
        <v>61</v>
      </c>
      <c r="L13">
        <v>0.78260869565217395</v>
      </c>
      <c r="M13">
        <v>2</v>
      </c>
      <c r="N13" s="1" t="s">
        <v>75</v>
      </c>
      <c r="O13">
        <v>2</v>
      </c>
      <c r="P13" s="1" t="s">
        <v>76</v>
      </c>
      <c r="Q13" s="1" t="s">
        <v>77</v>
      </c>
      <c r="R13" t="s">
        <v>33</v>
      </c>
      <c r="S13">
        <v>18</v>
      </c>
      <c r="T13">
        <v>5</v>
      </c>
      <c r="U13" t="s">
        <v>34</v>
      </c>
      <c r="V13">
        <v>0</v>
      </c>
      <c r="W13" t="s">
        <v>78</v>
      </c>
    </row>
    <row r="14" spans="1:23" x14ac:dyDescent="0.2">
      <c r="J14">
        <v>353186</v>
      </c>
      <c r="K14" t="s">
        <v>28</v>
      </c>
      <c r="L14" s="1" t="s">
        <v>79</v>
      </c>
      <c r="M14">
        <v>2</v>
      </c>
      <c r="N14" s="1" t="s">
        <v>80</v>
      </c>
      <c r="O14">
        <v>2</v>
      </c>
      <c r="P14" s="1" t="s">
        <v>49</v>
      </c>
      <c r="Q14" s="1" t="s">
        <v>81</v>
      </c>
      <c r="R14" t="s">
        <v>33</v>
      </c>
      <c r="S14">
        <v>20</v>
      </c>
      <c r="T14">
        <v>3</v>
      </c>
      <c r="U14" t="s">
        <v>34</v>
      </c>
      <c r="V14">
        <v>0</v>
      </c>
      <c r="W14" t="s">
        <v>82</v>
      </c>
    </row>
    <row r="15" spans="1:23" x14ac:dyDescent="0.2">
      <c r="J15">
        <v>353221</v>
      </c>
      <c r="K15" t="s">
        <v>61</v>
      </c>
      <c r="L15" s="1" t="s">
        <v>57</v>
      </c>
      <c r="M15">
        <v>2</v>
      </c>
      <c r="N15" s="1" t="s">
        <v>58</v>
      </c>
      <c r="O15">
        <v>2</v>
      </c>
      <c r="P15">
        <v>0</v>
      </c>
      <c r="Q15" s="1" t="s">
        <v>59</v>
      </c>
      <c r="R15" t="s">
        <v>33</v>
      </c>
      <c r="S15">
        <v>22</v>
      </c>
      <c r="T15">
        <v>1</v>
      </c>
      <c r="U15" t="s">
        <v>34</v>
      </c>
      <c r="V15">
        <v>0</v>
      </c>
      <c r="W15" t="s">
        <v>83</v>
      </c>
    </row>
    <row r="16" spans="1:23" x14ac:dyDescent="0.2">
      <c r="J16">
        <v>353211</v>
      </c>
      <c r="K16" t="s">
        <v>61</v>
      </c>
      <c r="L16" s="1" t="s">
        <v>38</v>
      </c>
      <c r="M16">
        <v>2</v>
      </c>
      <c r="N16" s="1" t="s">
        <v>43</v>
      </c>
      <c r="O16">
        <v>2</v>
      </c>
      <c r="P16" s="1" t="s">
        <v>84</v>
      </c>
      <c r="Q16" s="1" t="s">
        <v>85</v>
      </c>
      <c r="R16" t="s">
        <v>33</v>
      </c>
      <c r="S16">
        <v>16</v>
      </c>
      <c r="T16">
        <v>7</v>
      </c>
      <c r="U16" t="s">
        <v>34</v>
      </c>
      <c r="V16">
        <v>0</v>
      </c>
      <c r="W16" t="s">
        <v>86</v>
      </c>
    </row>
    <row r="17" spans="10:23" x14ac:dyDescent="0.2">
      <c r="J17">
        <v>353201</v>
      </c>
      <c r="K17" t="s">
        <v>87</v>
      </c>
      <c r="L17" s="1" t="s">
        <v>88</v>
      </c>
      <c r="M17">
        <v>2</v>
      </c>
      <c r="N17" s="1" t="s">
        <v>89</v>
      </c>
      <c r="O17">
        <v>2</v>
      </c>
      <c r="P17" s="1" t="s">
        <v>90</v>
      </c>
      <c r="Q17" s="1" t="s">
        <v>91</v>
      </c>
      <c r="R17" t="s">
        <v>33</v>
      </c>
      <c r="S17">
        <v>15</v>
      </c>
      <c r="T17">
        <v>8</v>
      </c>
      <c r="U17" t="s">
        <v>34</v>
      </c>
      <c r="V17">
        <v>0</v>
      </c>
      <c r="W17" t="s">
        <v>92</v>
      </c>
    </row>
    <row r="18" spans="10:23" x14ac:dyDescent="0.2">
      <c r="J18">
        <v>353199</v>
      </c>
      <c r="K18" t="s">
        <v>87</v>
      </c>
      <c r="L18">
        <v>0.78260869565217395</v>
      </c>
      <c r="M18">
        <v>2</v>
      </c>
      <c r="N18" s="1" t="s">
        <v>75</v>
      </c>
      <c r="O18">
        <v>2</v>
      </c>
      <c r="P18">
        <v>0.5</v>
      </c>
      <c r="Q18" s="1" t="s">
        <v>93</v>
      </c>
      <c r="R18" t="s">
        <v>33</v>
      </c>
      <c r="S18">
        <v>18</v>
      </c>
      <c r="T18">
        <v>5</v>
      </c>
      <c r="U18" t="s">
        <v>34</v>
      </c>
      <c r="V18">
        <v>0</v>
      </c>
      <c r="W18" t="s">
        <v>94</v>
      </c>
    </row>
    <row r="19" spans="10:23" x14ac:dyDescent="0.2">
      <c r="J19">
        <v>353174</v>
      </c>
      <c r="K19" t="s">
        <v>28</v>
      </c>
      <c r="L19" s="1" t="s">
        <v>79</v>
      </c>
      <c r="M19">
        <v>2</v>
      </c>
      <c r="N19" s="1" t="s">
        <v>80</v>
      </c>
      <c r="O19">
        <v>2</v>
      </c>
      <c r="P19" s="1" t="s">
        <v>95</v>
      </c>
      <c r="Q19" s="1" t="s">
        <v>96</v>
      </c>
      <c r="R19" t="s">
        <v>33</v>
      </c>
      <c r="S19">
        <v>20</v>
      </c>
      <c r="T19">
        <v>3</v>
      </c>
      <c r="U19" t="s">
        <v>34</v>
      </c>
      <c r="V19">
        <v>0</v>
      </c>
      <c r="W19" t="s">
        <v>97</v>
      </c>
    </row>
    <row r="20" spans="10:23" x14ac:dyDescent="0.2">
      <c r="J20">
        <v>353223</v>
      </c>
      <c r="K20" t="s">
        <v>87</v>
      </c>
      <c r="L20" s="1" t="s">
        <v>47</v>
      </c>
      <c r="M20">
        <v>2</v>
      </c>
      <c r="N20" s="1" t="s">
        <v>48</v>
      </c>
      <c r="O20">
        <v>2</v>
      </c>
      <c r="P20" s="1" t="s">
        <v>90</v>
      </c>
      <c r="Q20" s="1" t="s">
        <v>98</v>
      </c>
      <c r="R20" t="s">
        <v>33</v>
      </c>
      <c r="S20">
        <v>17</v>
      </c>
      <c r="T20">
        <v>6</v>
      </c>
      <c r="U20" t="s">
        <v>34</v>
      </c>
      <c r="V20">
        <v>0</v>
      </c>
      <c r="W20" t="s">
        <v>99</v>
      </c>
    </row>
    <row r="21" spans="10:23" x14ac:dyDescent="0.2">
      <c r="J21">
        <v>353229</v>
      </c>
      <c r="K21" t="s">
        <v>100</v>
      </c>
      <c r="L21" s="1" t="s">
        <v>37</v>
      </c>
      <c r="M21">
        <v>2</v>
      </c>
      <c r="N21" s="1" t="s">
        <v>38</v>
      </c>
      <c r="O21">
        <v>0</v>
      </c>
      <c r="P21" s="1" t="s">
        <v>101</v>
      </c>
      <c r="Q21" s="1" t="s">
        <v>102</v>
      </c>
      <c r="R21" t="s">
        <v>33</v>
      </c>
      <c r="S21">
        <v>8</v>
      </c>
      <c r="T21">
        <v>15</v>
      </c>
      <c r="U21" t="s">
        <v>34</v>
      </c>
      <c r="V21">
        <v>0</v>
      </c>
      <c r="W21" t="s">
        <v>103</v>
      </c>
    </row>
    <row r="22" spans="10:23" x14ac:dyDescent="0.2">
      <c r="J22">
        <v>353232</v>
      </c>
      <c r="K22" t="s">
        <v>104</v>
      </c>
      <c r="L22" s="1" t="s">
        <v>88</v>
      </c>
      <c r="M22">
        <v>8</v>
      </c>
      <c r="N22" s="1" t="s">
        <v>105</v>
      </c>
      <c r="O22">
        <v>8</v>
      </c>
      <c r="P22" s="1" t="s">
        <v>31</v>
      </c>
      <c r="Q22" s="1" t="s">
        <v>106</v>
      </c>
      <c r="R22" t="s">
        <v>107</v>
      </c>
      <c r="S22">
        <v>15</v>
      </c>
      <c r="T22">
        <v>0</v>
      </c>
      <c r="U22">
        <v>8</v>
      </c>
      <c r="V22">
        <v>0</v>
      </c>
      <c r="W22" t="s">
        <v>108</v>
      </c>
    </row>
    <row r="23" spans="10:23" x14ac:dyDescent="0.2">
      <c r="J23">
        <v>353225</v>
      </c>
      <c r="K23" t="s">
        <v>42</v>
      </c>
      <c r="L23">
        <v>0.78260869565217395</v>
      </c>
      <c r="M23">
        <v>2</v>
      </c>
      <c r="N23" s="1" t="s">
        <v>75</v>
      </c>
      <c r="O23">
        <v>2</v>
      </c>
      <c r="P23">
        <v>0.5</v>
      </c>
      <c r="Q23" s="1" t="s">
        <v>109</v>
      </c>
      <c r="R23" t="s">
        <v>33</v>
      </c>
      <c r="S23">
        <v>18</v>
      </c>
      <c r="T23">
        <v>5</v>
      </c>
      <c r="U23" t="s">
        <v>34</v>
      </c>
      <c r="V23">
        <v>0</v>
      </c>
      <c r="W23" t="s">
        <v>110</v>
      </c>
    </row>
    <row r="24" spans="10:23" x14ac:dyDescent="0.2">
      <c r="J24">
        <v>405014</v>
      </c>
      <c r="K24" t="s">
        <v>111</v>
      </c>
      <c r="L24" s="1" t="s">
        <v>37</v>
      </c>
      <c r="M24">
        <v>3</v>
      </c>
      <c r="N24" s="1" t="s">
        <v>112</v>
      </c>
      <c r="O24">
        <v>2</v>
      </c>
      <c r="P24">
        <v>-2.3809523809523801E-2</v>
      </c>
      <c r="Q24" s="1" t="s">
        <v>113</v>
      </c>
      <c r="R24" t="s">
        <v>107</v>
      </c>
      <c r="S24">
        <v>8</v>
      </c>
      <c r="T24">
        <v>5</v>
      </c>
      <c r="U24">
        <v>9</v>
      </c>
      <c r="V24">
        <v>1</v>
      </c>
      <c r="W24" t="s">
        <v>114</v>
      </c>
    </row>
    <row r="25" spans="10:23" x14ac:dyDescent="0.2">
      <c r="J25">
        <v>353228</v>
      </c>
      <c r="K25" t="s">
        <v>100</v>
      </c>
      <c r="L25" s="1" t="s">
        <v>47</v>
      </c>
      <c r="M25">
        <v>2</v>
      </c>
      <c r="N25" s="1" t="s">
        <v>48</v>
      </c>
      <c r="O25">
        <v>2</v>
      </c>
      <c r="P25">
        <v>0.5</v>
      </c>
      <c r="Q25" s="1" t="s">
        <v>115</v>
      </c>
      <c r="R25" t="s">
        <v>33</v>
      </c>
      <c r="S25">
        <v>17</v>
      </c>
      <c r="T25">
        <v>6</v>
      </c>
      <c r="U25" t="s">
        <v>34</v>
      </c>
      <c r="V25">
        <v>0</v>
      </c>
      <c r="W25" t="s">
        <v>116</v>
      </c>
    </row>
    <row r="26" spans="10:23" x14ac:dyDescent="0.2">
      <c r="J26">
        <v>405013</v>
      </c>
      <c r="K26" t="s">
        <v>111</v>
      </c>
      <c r="L26" s="1" t="s">
        <v>79</v>
      </c>
      <c r="M26">
        <v>2</v>
      </c>
      <c r="N26" s="1" t="s">
        <v>80</v>
      </c>
      <c r="O26">
        <v>2</v>
      </c>
      <c r="P26" s="1" t="s">
        <v>76</v>
      </c>
      <c r="Q26" s="1" t="s">
        <v>117</v>
      </c>
      <c r="R26" t="s">
        <v>33</v>
      </c>
      <c r="S26">
        <v>20</v>
      </c>
      <c r="T26">
        <v>3</v>
      </c>
      <c r="U26" t="s">
        <v>34</v>
      </c>
      <c r="V26">
        <v>0</v>
      </c>
      <c r="W26" t="s">
        <v>118</v>
      </c>
    </row>
    <row r="27" spans="10:23" x14ac:dyDescent="0.2">
      <c r="J27">
        <v>405566</v>
      </c>
      <c r="K27" t="s">
        <v>70</v>
      </c>
      <c r="L27" s="1" t="s">
        <v>79</v>
      </c>
      <c r="M27">
        <v>2</v>
      </c>
      <c r="N27" s="1" t="s">
        <v>80</v>
      </c>
      <c r="O27">
        <v>2</v>
      </c>
      <c r="P27" s="1" t="s">
        <v>76</v>
      </c>
      <c r="Q27" s="1" t="s">
        <v>119</v>
      </c>
      <c r="R27" t="s">
        <v>33</v>
      </c>
      <c r="S27">
        <v>20</v>
      </c>
      <c r="T27">
        <v>3</v>
      </c>
      <c r="U27" t="s">
        <v>34</v>
      </c>
      <c r="V27">
        <v>0</v>
      </c>
      <c r="W27" t="s">
        <v>120</v>
      </c>
    </row>
    <row r="28" spans="10:23" x14ac:dyDescent="0.2">
      <c r="J28">
        <v>353234</v>
      </c>
      <c r="K28" t="s">
        <v>104</v>
      </c>
      <c r="L28" s="1" t="s">
        <v>29</v>
      </c>
      <c r="M28">
        <v>8</v>
      </c>
      <c r="N28" s="1" t="s">
        <v>121</v>
      </c>
      <c r="O28">
        <v>8</v>
      </c>
      <c r="P28" s="1" t="s">
        <v>122</v>
      </c>
      <c r="Q28" s="1" t="s">
        <v>123</v>
      </c>
      <c r="R28" t="s">
        <v>107</v>
      </c>
      <c r="S28">
        <v>13</v>
      </c>
      <c r="T28">
        <v>1</v>
      </c>
      <c r="U28">
        <v>8</v>
      </c>
      <c r="V28">
        <v>1</v>
      </c>
      <c r="W28" t="s">
        <v>124</v>
      </c>
    </row>
    <row r="29" spans="10:23" x14ac:dyDescent="0.2">
      <c r="J29">
        <v>353233</v>
      </c>
      <c r="K29" t="s">
        <v>104</v>
      </c>
      <c r="L29" s="1" t="s">
        <v>125</v>
      </c>
      <c r="M29">
        <v>8</v>
      </c>
      <c r="N29" s="1" t="s">
        <v>126</v>
      </c>
      <c r="O29">
        <v>6</v>
      </c>
      <c r="P29" s="1" t="s">
        <v>127</v>
      </c>
      <c r="Q29">
        <v>0.40121032075635699</v>
      </c>
      <c r="R29" t="s">
        <v>107</v>
      </c>
      <c r="S29">
        <v>6</v>
      </c>
      <c r="T29">
        <v>0</v>
      </c>
      <c r="U29">
        <v>17</v>
      </c>
      <c r="V29">
        <v>0</v>
      </c>
      <c r="W29" t="s">
        <v>128</v>
      </c>
    </row>
    <row r="30" spans="10:23" x14ac:dyDescent="0.2">
      <c r="J30">
        <v>353231</v>
      </c>
      <c r="K30" t="s">
        <v>100</v>
      </c>
      <c r="L30" s="1" t="s">
        <v>37</v>
      </c>
      <c r="M30">
        <v>2</v>
      </c>
      <c r="N30" s="1" t="s">
        <v>38</v>
      </c>
      <c r="O30">
        <v>0</v>
      </c>
      <c r="P30" s="1" t="s">
        <v>129</v>
      </c>
      <c r="Q30" s="1" t="s">
        <v>130</v>
      </c>
      <c r="R30" t="s">
        <v>33</v>
      </c>
      <c r="S30">
        <v>8</v>
      </c>
      <c r="T30">
        <v>15</v>
      </c>
      <c r="U30" t="s">
        <v>34</v>
      </c>
      <c r="V30">
        <v>0</v>
      </c>
      <c r="W30" t="s">
        <v>131</v>
      </c>
    </row>
    <row r="31" spans="10:23" x14ac:dyDescent="0.2">
      <c r="J31">
        <v>353215</v>
      </c>
      <c r="K31" t="s">
        <v>42</v>
      </c>
      <c r="L31" s="1" t="s">
        <v>72</v>
      </c>
      <c r="M31">
        <v>2</v>
      </c>
      <c r="N31" s="1" t="s">
        <v>73</v>
      </c>
      <c r="O31">
        <v>2</v>
      </c>
      <c r="P31">
        <v>0.5</v>
      </c>
      <c r="Q31" s="1" t="s">
        <v>132</v>
      </c>
      <c r="R31" t="s">
        <v>33</v>
      </c>
      <c r="S31">
        <v>19</v>
      </c>
      <c r="T31">
        <v>4</v>
      </c>
      <c r="U31" t="s">
        <v>34</v>
      </c>
      <c r="V31">
        <v>0</v>
      </c>
      <c r="W31" t="s">
        <v>133</v>
      </c>
    </row>
    <row r="32" spans="10:23" x14ac:dyDescent="0.2">
      <c r="J32">
        <v>353190</v>
      </c>
      <c r="K32" t="s">
        <v>61</v>
      </c>
      <c r="L32">
        <v>0.39130434782608697</v>
      </c>
      <c r="M32">
        <v>2</v>
      </c>
      <c r="N32">
        <v>0.78260869565217395</v>
      </c>
      <c r="O32">
        <v>0</v>
      </c>
      <c r="P32">
        <v>0.38095238095238099</v>
      </c>
      <c r="Q32" s="1" t="s">
        <v>134</v>
      </c>
      <c r="R32" t="s">
        <v>33</v>
      </c>
      <c r="S32">
        <v>9</v>
      </c>
      <c r="T32">
        <v>14</v>
      </c>
      <c r="U32" t="s">
        <v>34</v>
      </c>
      <c r="V32">
        <v>0</v>
      </c>
      <c r="W32" t="s">
        <v>135</v>
      </c>
    </row>
    <row r="33" spans="10:23" x14ac:dyDescent="0.2">
      <c r="J33">
        <v>353227</v>
      </c>
      <c r="K33" t="s">
        <v>100</v>
      </c>
      <c r="L33" s="1" t="s">
        <v>47</v>
      </c>
      <c r="M33">
        <v>2</v>
      </c>
      <c r="N33" s="1" t="s">
        <v>48</v>
      </c>
      <c r="O33">
        <v>2</v>
      </c>
      <c r="P33">
        <v>0.5</v>
      </c>
      <c r="Q33" s="1" t="s">
        <v>136</v>
      </c>
      <c r="R33" t="s">
        <v>33</v>
      </c>
      <c r="S33">
        <v>17</v>
      </c>
      <c r="T33">
        <v>6</v>
      </c>
      <c r="U33" t="s">
        <v>34</v>
      </c>
      <c r="V33">
        <v>0</v>
      </c>
      <c r="W33" t="s">
        <v>137</v>
      </c>
    </row>
    <row r="34" spans="10:23" x14ac:dyDescent="0.2">
      <c r="J34">
        <v>353217</v>
      </c>
      <c r="K34" t="s">
        <v>61</v>
      </c>
      <c r="L34" s="1" t="s">
        <v>62</v>
      </c>
      <c r="M34">
        <v>2</v>
      </c>
      <c r="N34" s="1" t="s">
        <v>63</v>
      </c>
      <c r="O34">
        <v>2</v>
      </c>
      <c r="P34" s="1" t="s">
        <v>76</v>
      </c>
      <c r="Q34" s="1" t="s">
        <v>138</v>
      </c>
      <c r="R34" t="s">
        <v>33</v>
      </c>
      <c r="S34">
        <v>21</v>
      </c>
      <c r="T34">
        <v>2</v>
      </c>
      <c r="U34" t="s">
        <v>34</v>
      </c>
      <c r="V34">
        <v>0</v>
      </c>
      <c r="W34" t="s">
        <v>139</v>
      </c>
    </row>
    <row r="35" spans="10:23" x14ac:dyDescent="0.2">
      <c r="J35">
        <v>353230</v>
      </c>
      <c r="K35" t="s">
        <v>100</v>
      </c>
      <c r="L35">
        <v>0.78260869565217395</v>
      </c>
      <c r="M35">
        <v>2</v>
      </c>
      <c r="N35" s="1" t="s">
        <v>75</v>
      </c>
      <c r="O35">
        <v>2</v>
      </c>
      <c r="P35" s="1" t="s">
        <v>90</v>
      </c>
      <c r="Q35">
        <v>0.52817650091932</v>
      </c>
      <c r="R35" t="s">
        <v>33</v>
      </c>
      <c r="S35">
        <v>18</v>
      </c>
      <c r="T35">
        <v>5</v>
      </c>
      <c r="U35" t="s">
        <v>34</v>
      </c>
      <c r="V35">
        <v>0</v>
      </c>
      <c r="W35" t="s">
        <v>140</v>
      </c>
    </row>
    <row r="36" spans="10:23" x14ac:dyDescent="0.2">
      <c r="J36">
        <v>353222</v>
      </c>
      <c r="K36" t="s">
        <v>100</v>
      </c>
      <c r="L36" s="1" t="s">
        <v>38</v>
      </c>
      <c r="M36">
        <v>2</v>
      </c>
      <c r="N36" s="1" t="s">
        <v>43</v>
      </c>
      <c r="O36">
        <v>2</v>
      </c>
      <c r="P36" s="1" t="s">
        <v>76</v>
      </c>
      <c r="Q36" s="1" t="s">
        <v>141</v>
      </c>
      <c r="R36" t="s">
        <v>33</v>
      </c>
      <c r="S36">
        <v>16</v>
      </c>
      <c r="T36">
        <v>7</v>
      </c>
      <c r="U36" t="s">
        <v>34</v>
      </c>
      <c r="V36">
        <v>0</v>
      </c>
      <c r="W36" t="s">
        <v>142</v>
      </c>
    </row>
    <row r="37" spans="10:23" x14ac:dyDescent="0.2">
      <c r="J37">
        <v>353213</v>
      </c>
      <c r="K37" t="s">
        <v>46</v>
      </c>
      <c r="L37" s="1" t="s">
        <v>57</v>
      </c>
      <c r="M37">
        <v>2</v>
      </c>
      <c r="N37" s="1" t="s">
        <v>58</v>
      </c>
      <c r="O37">
        <v>2</v>
      </c>
      <c r="P37" s="1" t="s">
        <v>95</v>
      </c>
      <c r="Q37" s="1" t="s">
        <v>143</v>
      </c>
      <c r="R37" t="s">
        <v>33</v>
      </c>
      <c r="S37">
        <v>22</v>
      </c>
      <c r="T37">
        <v>1</v>
      </c>
      <c r="U37" t="s">
        <v>34</v>
      </c>
      <c r="V37">
        <v>0</v>
      </c>
      <c r="W37" t="s">
        <v>144</v>
      </c>
    </row>
    <row r="38" spans="10:23" x14ac:dyDescent="0.2">
      <c r="J38">
        <v>353188</v>
      </c>
      <c r="K38" t="s">
        <v>65</v>
      </c>
      <c r="L38">
        <v>0.78260869565217395</v>
      </c>
      <c r="M38">
        <v>2</v>
      </c>
      <c r="N38" s="1" t="s">
        <v>75</v>
      </c>
      <c r="O38">
        <v>2</v>
      </c>
      <c r="P38">
        <v>0.5</v>
      </c>
      <c r="Q38" s="1" t="s">
        <v>145</v>
      </c>
      <c r="R38" t="s">
        <v>33</v>
      </c>
      <c r="S38">
        <v>18</v>
      </c>
      <c r="T38">
        <v>5</v>
      </c>
      <c r="U38" t="s">
        <v>34</v>
      </c>
      <c r="V38">
        <v>0</v>
      </c>
      <c r="W38" t="s">
        <v>146</v>
      </c>
    </row>
    <row r="39" spans="10:23" x14ac:dyDescent="0.2">
      <c r="J39">
        <v>405012</v>
      </c>
      <c r="K39" t="s">
        <v>111</v>
      </c>
      <c r="L39" s="1" t="s">
        <v>29</v>
      </c>
      <c r="M39">
        <v>2</v>
      </c>
      <c r="N39" s="1" t="s">
        <v>30</v>
      </c>
      <c r="O39">
        <v>2</v>
      </c>
      <c r="P39">
        <v>0.38095238095238099</v>
      </c>
      <c r="Q39" s="1" t="s">
        <v>147</v>
      </c>
      <c r="R39" t="s">
        <v>33</v>
      </c>
      <c r="S39">
        <v>13</v>
      </c>
      <c r="T39">
        <v>10</v>
      </c>
      <c r="U39" t="s">
        <v>34</v>
      </c>
      <c r="V39">
        <v>0</v>
      </c>
      <c r="W39" t="s">
        <v>148</v>
      </c>
    </row>
    <row r="40" spans="10:23" x14ac:dyDescent="0.2">
      <c r="J40">
        <v>353220</v>
      </c>
      <c r="K40" t="s">
        <v>100</v>
      </c>
      <c r="L40">
        <v>0.78260869565217395</v>
      </c>
      <c r="M40">
        <v>2</v>
      </c>
      <c r="N40" s="1" t="s">
        <v>75</v>
      </c>
      <c r="O40">
        <v>2</v>
      </c>
      <c r="P40" s="1" t="s">
        <v>149</v>
      </c>
      <c r="Q40" s="1" t="s">
        <v>150</v>
      </c>
      <c r="R40" t="s">
        <v>33</v>
      </c>
      <c r="S40">
        <v>18</v>
      </c>
      <c r="T40">
        <v>5</v>
      </c>
      <c r="U40" t="s">
        <v>34</v>
      </c>
      <c r="V40">
        <v>0</v>
      </c>
      <c r="W40" t="s">
        <v>151</v>
      </c>
    </row>
    <row r="41" spans="10:23" x14ac:dyDescent="0.2">
      <c r="J41">
        <v>353195</v>
      </c>
      <c r="K41" t="s">
        <v>87</v>
      </c>
      <c r="L41" s="1" t="s">
        <v>66</v>
      </c>
      <c r="M41">
        <v>4</v>
      </c>
      <c r="N41" s="1" t="s">
        <v>152</v>
      </c>
      <c r="O41">
        <v>4</v>
      </c>
      <c r="P41" s="1" t="s">
        <v>153</v>
      </c>
      <c r="Q41" s="1" t="s">
        <v>154</v>
      </c>
      <c r="R41" t="s">
        <v>107</v>
      </c>
      <c r="S41">
        <v>12</v>
      </c>
      <c r="T41">
        <v>5</v>
      </c>
      <c r="U41">
        <v>6</v>
      </c>
      <c r="V41">
        <v>0</v>
      </c>
      <c r="W41"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D560-9D70-40EA-B3FE-37917B00CA15}">
  <dimension ref="A1:H40"/>
  <sheetViews>
    <sheetView tabSelected="1" zoomScale="136" workbookViewId="0">
      <selection activeCell="G8" sqref="G8"/>
    </sheetView>
  </sheetViews>
  <sheetFormatPr baseColWidth="10" defaultColWidth="8.83203125" defaultRowHeight="17" customHeight="1" x14ac:dyDescent="0.2"/>
  <cols>
    <col min="1" max="1" width="8.83203125" customWidth="1"/>
    <col min="2" max="2" width="15.33203125" bestFit="1" customWidth="1"/>
    <col min="3" max="3" width="18.33203125" bestFit="1" customWidth="1"/>
    <col min="4" max="4" width="18.83203125" customWidth="1"/>
    <col min="5" max="5" width="21.5" customWidth="1"/>
    <col min="6" max="6" width="15.1640625" customWidth="1"/>
    <col min="7" max="7" width="105.33203125" style="5" customWidth="1"/>
    <col min="8" max="8" width="30" customWidth="1"/>
  </cols>
  <sheetData>
    <row r="1" spans="1:8" ht="17" customHeight="1" x14ac:dyDescent="0.2">
      <c r="A1" t="s">
        <v>9</v>
      </c>
      <c r="B1" t="s">
        <v>12</v>
      </c>
      <c r="C1" t="s">
        <v>13</v>
      </c>
      <c r="D1" t="s">
        <v>156</v>
      </c>
      <c r="E1" t="s">
        <v>14</v>
      </c>
      <c r="F1" t="s">
        <v>157</v>
      </c>
      <c r="G1" s="5" t="s">
        <v>159</v>
      </c>
      <c r="H1" t="s">
        <v>22</v>
      </c>
    </row>
    <row r="2" spans="1:8" ht="17" customHeight="1" x14ac:dyDescent="0.2">
      <c r="A2">
        <v>353233</v>
      </c>
      <c r="B2">
        <v>8</v>
      </c>
      <c r="C2" s="3">
        <v>5.7608695652173898</v>
      </c>
      <c r="D2" s="3">
        <f t="shared" ref="D2:D40" si="0">B2-C2</f>
        <v>2.2391304347826102</v>
      </c>
      <c r="E2">
        <v>6</v>
      </c>
      <c r="F2" s="4">
        <f t="shared" ref="F2:F40" si="1">B2-E2</f>
        <v>2</v>
      </c>
      <c r="G2" s="6" t="s">
        <v>164</v>
      </c>
      <c r="H2" t="s">
        <v>128</v>
      </c>
    </row>
    <row r="3" spans="1:8" ht="17" customHeight="1" x14ac:dyDescent="0.2">
      <c r="A3">
        <v>353234</v>
      </c>
      <c r="B3">
        <v>8</v>
      </c>
      <c r="C3" s="3">
        <v>6.4130434782608603</v>
      </c>
      <c r="D3" s="3">
        <f t="shared" si="0"/>
        <v>1.5869565217391397</v>
      </c>
      <c r="E3">
        <v>8</v>
      </c>
      <c r="F3" s="4">
        <f t="shared" si="1"/>
        <v>0</v>
      </c>
      <c r="G3" s="6" t="s">
        <v>167</v>
      </c>
      <c r="H3" t="s">
        <v>124</v>
      </c>
    </row>
    <row r="4" spans="1:8" ht="17" customHeight="1" x14ac:dyDescent="0.2">
      <c r="A4">
        <v>353232</v>
      </c>
      <c r="B4">
        <v>8</v>
      </c>
      <c r="C4" s="3">
        <v>6.6086956521739104</v>
      </c>
      <c r="D4" s="3">
        <f t="shared" si="0"/>
        <v>1.3913043478260896</v>
      </c>
      <c r="E4">
        <v>8</v>
      </c>
      <c r="F4" s="4">
        <f t="shared" si="1"/>
        <v>0</v>
      </c>
      <c r="G4" s="6" t="s">
        <v>166</v>
      </c>
      <c r="H4" t="s">
        <v>108</v>
      </c>
    </row>
    <row r="5" spans="1:8" ht="17" customHeight="1" x14ac:dyDescent="0.2">
      <c r="A5">
        <v>353178</v>
      </c>
      <c r="B5">
        <v>2</v>
      </c>
      <c r="C5" s="3">
        <v>0.69565217391304301</v>
      </c>
      <c r="D5" s="3">
        <f t="shared" si="0"/>
        <v>1.304347826086957</v>
      </c>
      <c r="E5">
        <v>0</v>
      </c>
      <c r="F5" s="4">
        <f t="shared" si="1"/>
        <v>2</v>
      </c>
      <c r="G5" s="6" t="s">
        <v>158</v>
      </c>
      <c r="H5" t="s">
        <v>41</v>
      </c>
    </row>
    <row r="6" spans="1:8" ht="17" customHeight="1" x14ac:dyDescent="0.2">
      <c r="A6">
        <v>353229</v>
      </c>
      <c r="B6">
        <v>2</v>
      </c>
      <c r="C6" s="3">
        <v>0.69565217391304301</v>
      </c>
      <c r="D6" s="3">
        <f t="shared" si="0"/>
        <v>1.304347826086957</v>
      </c>
      <c r="E6">
        <v>0</v>
      </c>
      <c r="F6" s="4">
        <f t="shared" si="1"/>
        <v>2</v>
      </c>
      <c r="G6" s="6" t="s">
        <v>161</v>
      </c>
      <c r="H6" t="s">
        <v>103</v>
      </c>
    </row>
    <row r="7" spans="1:8" ht="17" customHeight="1" x14ac:dyDescent="0.2">
      <c r="A7">
        <v>353231</v>
      </c>
      <c r="B7">
        <v>2</v>
      </c>
      <c r="C7" s="3">
        <v>0.69565217391304301</v>
      </c>
      <c r="D7" s="3">
        <f t="shared" si="0"/>
        <v>1.304347826086957</v>
      </c>
      <c r="E7">
        <v>0</v>
      </c>
      <c r="F7" s="4">
        <f t="shared" si="1"/>
        <v>2</v>
      </c>
      <c r="G7" s="6" t="s">
        <v>162</v>
      </c>
      <c r="H7" t="s">
        <v>131</v>
      </c>
    </row>
    <row r="8" spans="1:8" ht="17" customHeight="1" x14ac:dyDescent="0.2">
      <c r="A8">
        <v>405014</v>
      </c>
      <c r="B8">
        <v>3</v>
      </c>
      <c r="C8" s="3">
        <v>1.7173913043478199</v>
      </c>
      <c r="D8" s="3">
        <f t="shared" si="0"/>
        <v>1.2826086956521801</v>
      </c>
      <c r="E8">
        <v>2</v>
      </c>
      <c r="F8" s="4">
        <f t="shared" si="1"/>
        <v>1</v>
      </c>
      <c r="G8" s="6" t="s">
        <v>163</v>
      </c>
      <c r="H8" t="s">
        <v>114</v>
      </c>
    </row>
    <row r="9" spans="1:8" ht="17" customHeight="1" x14ac:dyDescent="0.2">
      <c r="A9">
        <v>353195</v>
      </c>
      <c r="B9">
        <v>4</v>
      </c>
      <c r="C9" s="3">
        <v>2.7826086956521698</v>
      </c>
      <c r="D9" s="3">
        <f t="shared" si="0"/>
        <v>1.2173913043478302</v>
      </c>
      <c r="E9">
        <v>4</v>
      </c>
      <c r="F9" s="4">
        <f t="shared" si="1"/>
        <v>0</v>
      </c>
      <c r="G9" s="6" t="s">
        <v>165</v>
      </c>
      <c r="H9" t="s">
        <v>155</v>
      </c>
    </row>
    <row r="10" spans="1:8" ht="17" customHeight="1" x14ac:dyDescent="0.2">
      <c r="A10">
        <v>353190</v>
      </c>
      <c r="B10">
        <v>2</v>
      </c>
      <c r="C10" s="3">
        <v>0.78260869565217395</v>
      </c>
      <c r="D10" s="3">
        <f t="shared" si="0"/>
        <v>1.2173913043478262</v>
      </c>
      <c r="E10">
        <v>0</v>
      </c>
      <c r="F10" s="4">
        <f t="shared" si="1"/>
        <v>2</v>
      </c>
      <c r="G10" s="6" t="s">
        <v>160</v>
      </c>
      <c r="H10" t="s">
        <v>135</v>
      </c>
    </row>
    <row r="11" spans="1:8" ht="17" customHeight="1" x14ac:dyDescent="0.2">
      <c r="A11">
        <v>353182</v>
      </c>
      <c r="B11">
        <v>2</v>
      </c>
      <c r="C11" s="3">
        <v>1.13043478260869</v>
      </c>
      <c r="D11" s="3">
        <f t="shared" si="0"/>
        <v>0.86956521739130999</v>
      </c>
      <c r="E11">
        <v>2</v>
      </c>
      <c r="F11" s="4">
        <f t="shared" si="1"/>
        <v>0</v>
      </c>
      <c r="G11" s="6" t="s">
        <v>168</v>
      </c>
      <c r="H11" t="s">
        <v>35</v>
      </c>
    </row>
    <row r="12" spans="1:8" ht="17" customHeight="1" x14ac:dyDescent="0.2">
      <c r="A12">
        <v>405012</v>
      </c>
      <c r="B12">
        <v>2</v>
      </c>
      <c r="C12" s="3">
        <v>1.13043478260869</v>
      </c>
      <c r="D12" s="3">
        <f t="shared" si="0"/>
        <v>0.86956521739130999</v>
      </c>
      <c r="E12">
        <v>2</v>
      </c>
      <c r="F12" s="4">
        <f t="shared" si="1"/>
        <v>0</v>
      </c>
      <c r="G12" s="6" t="s">
        <v>169</v>
      </c>
      <c r="H12" t="s">
        <v>148</v>
      </c>
    </row>
    <row r="13" spans="1:8" ht="17" customHeight="1" x14ac:dyDescent="0.2">
      <c r="A13">
        <v>353193</v>
      </c>
      <c r="B13">
        <v>2</v>
      </c>
      <c r="C13" s="3">
        <v>1.2173913043478199</v>
      </c>
      <c r="D13" s="3">
        <f t="shared" si="0"/>
        <v>0.78260869565218005</v>
      </c>
      <c r="E13">
        <v>2</v>
      </c>
      <c r="F13" s="4">
        <f t="shared" si="1"/>
        <v>0</v>
      </c>
      <c r="G13" s="6"/>
      <c r="H13" t="s">
        <v>56</v>
      </c>
    </row>
    <row r="14" spans="1:8" ht="17" customHeight="1" x14ac:dyDescent="0.2">
      <c r="A14">
        <v>353208</v>
      </c>
      <c r="B14">
        <v>3</v>
      </c>
      <c r="C14" s="3">
        <v>2.2173913043478199</v>
      </c>
      <c r="D14" s="3">
        <f t="shared" si="0"/>
        <v>0.78260869565218005</v>
      </c>
      <c r="E14">
        <v>3</v>
      </c>
      <c r="F14" s="4">
        <f t="shared" si="1"/>
        <v>0</v>
      </c>
      <c r="G14" s="6"/>
      <c r="H14" t="s">
        <v>69</v>
      </c>
    </row>
    <row r="15" spans="1:8" ht="17" customHeight="1" x14ac:dyDescent="0.2">
      <c r="A15">
        <v>353201</v>
      </c>
      <c r="B15">
        <v>2</v>
      </c>
      <c r="C15" s="3">
        <v>1.3043478260869501</v>
      </c>
      <c r="D15" s="3">
        <f t="shared" si="0"/>
        <v>0.6956521739130499</v>
      </c>
      <c r="E15">
        <v>2</v>
      </c>
      <c r="F15" s="4">
        <f t="shared" si="1"/>
        <v>0</v>
      </c>
      <c r="G15" s="6"/>
      <c r="H15" t="s">
        <v>92</v>
      </c>
    </row>
    <row r="16" spans="1:8" ht="17" customHeight="1" x14ac:dyDescent="0.2">
      <c r="A16">
        <v>353197</v>
      </c>
      <c r="B16">
        <v>2</v>
      </c>
      <c r="C16" s="3">
        <v>1.39130434782608</v>
      </c>
      <c r="D16" s="3">
        <f t="shared" si="0"/>
        <v>0.60869565217391997</v>
      </c>
      <c r="E16">
        <v>2</v>
      </c>
      <c r="F16" s="4">
        <f t="shared" si="1"/>
        <v>0</v>
      </c>
      <c r="G16" s="6"/>
      <c r="H16" t="s">
        <v>45</v>
      </c>
    </row>
    <row r="17" spans="1:8" ht="17" customHeight="1" x14ac:dyDescent="0.2">
      <c r="A17">
        <v>353211</v>
      </c>
      <c r="B17">
        <v>2</v>
      </c>
      <c r="C17" s="3">
        <v>1.39130434782608</v>
      </c>
      <c r="D17" s="3">
        <f t="shared" si="0"/>
        <v>0.60869565217391997</v>
      </c>
      <c r="E17">
        <v>2</v>
      </c>
      <c r="F17" s="4">
        <f t="shared" si="1"/>
        <v>0</v>
      </c>
      <c r="G17" s="6"/>
      <c r="H17" t="s">
        <v>86</v>
      </c>
    </row>
    <row r="18" spans="1:8" ht="17" customHeight="1" x14ac:dyDescent="0.2">
      <c r="A18">
        <v>353222</v>
      </c>
      <c r="B18">
        <v>2</v>
      </c>
      <c r="C18" s="3">
        <v>1.39130434782608</v>
      </c>
      <c r="D18" s="3">
        <f t="shared" si="0"/>
        <v>0.60869565217391997</v>
      </c>
      <c r="E18">
        <v>2</v>
      </c>
      <c r="F18" s="4">
        <f t="shared" si="1"/>
        <v>0</v>
      </c>
      <c r="G18" s="6"/>
      <c r="H18" t="s">
        <v>142</v>
      </c>
    </row>
    <row r="19" spans="1:8" ht="17" customHeight="1" x14ac:dyDescent="0.2">
      <c r="A19">
        <v>353203</v>
      </c>
      <c r="B19">
        <v>2</v>
      </c>
      <c r="C19" s="3">
        <v>1.47826086956521</v>
      </c>
      <c r="D19" s="3">
        <f t="shared" si="0"/>
        <v>0.52173913043479003</v>
      </c>
      <c r="E19">
        <v>2</v>
      </c>
      <c r="F19" s="4">
        <f t="shared" si="1"/>
        <v>0</v>
      </c>
      <c r="G19" s="6"/>
      <c r="H19" t="s">
        <v>50</v>
      </c>
    </row>
    <row r="20" spans="1:8" ht="17" customHeight="1" x14ac:dyDescent="0.2">
      <c r="A20">
        <v>353223</v>
      </c>
      <c r="B20">
        <v>2</v>
      </c>
      <c r="C20" s="3">
        <v>1.47826086956521</v>
      </c>
      <c r="D20" s="3">
        <f t="shared" si="0"/>
        <v>0.52173913043479003</v>
      </c>
      <c r="E20">
        <v>2</v>
      </c>
      <c r="F20" s="4">
        <f t="shared" si="1"/>
        <v>0</v>
      </c>
      <c r="G20" s="6"/>
      <c r="H20" t="s">
        <v>99</v>
      </c>
    </row>
    <row r="21" spans="1:8" ht="17" customHeight="1" x14ac:dyDescent="0.2">
      <c r="A21">
        <v>353227</v>
      </c>
      <c r="B21">
        <v>2</v>
      </c>
      <c r="C21" s="3">
        <v>1.47826086956521</v>
      </c>
      <c r="D21" s="3">
        <f t="shared" si="0"/>
        <v>0.52173913043479003</v>
      </c>
      <c r="E21">
        <v>2</v>
      </c>
      <c r="F21" s="4">
        <f t="shared" si="1"/>
        <v>0</v>
      </c>
      <c r="G21" s="6"/>
      <c r="H21" t="s">
        <v>137</v>
      </c>
    </row>
    <row r="22" spans="1:8" ht="17" customHeight="1" x14ac:dyDescent="0.2">
      <c r="A22">
        <v>353228</v>
      </c>
      <c r="B22">
        <v>2</v>
      </c>
      <c r="C22" s="3">
        <v>1.47826086956521</v>
      </c>
      <c r="D22" s="3">
        <f t="shared" si="0"/>
        <v>0.52173913043479003</v>
      </c>
      <c r="E22">
        <v>2</v>
      </c>
      <c r="F22" s="4">
        <f t="shared" si="1"/>
        <v>0</v>
      </c>
      <c r="G22" s="6"/>
      <c r="H22" t="s">
        <v>116</v>
      </c>
    </row>
    <row r="23" spans="1:8" ht="17" customHeight="1" x14ac:dyDescent="0.2">
      <c r="A23">
        <v>353188</v>
      </c>
      <c r="B23">
        <v>2</v>
      </c>
      <c r="C23" s="3">
        <v>1.5652173913043399</v>
      </c>
      <c r="D23" s="3">
        <f t="shared" si="0"/>
        <v>0.4347826086956601</v>
      </c>
      <c r="E23">
        <v>2</v>
      </c>
      <c r="F23" s="4">
        <f t="shared" si="1"/>
        <v>0</v>
      </c>
      <c r="G23" s="6"/>
      <c r="H23" t="s">
        <v>146</v>
      </c>
    </row>
    <row r="24" spans="1:8" ht="17" customHeight="1" x14ac:dyDescent="0.2">
      <c r="A24">
        <v>353199</v>
      </c>
      <c r="B24">
        <v>2</v>
      </c>
      <c r="C24" s="3">
        <v>1.5652173913043399</v>
      </c>
      <c r="D24" s="3">
        <f t="shared" si="0"/>
        <v>0.4347826086956601</v>
      </c>
      <c r="E24">
        <v>2</v>
      </c>
      <c r="F24" s="4">
        <f t="shared" si="1"/>
        <v>0</v>
      </c>
      <c r="G24" s="6"/>
      <c r="H24" t="s">
        <v>94</v>
      </c>
    </row>
    <row r="25" spans="1:8" ht="17" customHeight="1" x14ac:dyDescent="0.2">
      <c r="A25">
        <v>353219</v>
      </c>
      <c r="B25">
        <v>2</v>
      </c>
      <c r="C25" s="3">
        <v>1.5652173913043399</v>
      </c>
      <c r="D25" s="3">
        <f t="shared" si="0"/>
        <v>0.4347826086956601</v>
      </c>
      <c r="E25">
        <v>2</v>
      </c>
      <c r="F25" s="4">
        <f t="shared" si="1"/>
        <v>0</v>
      </c>
      <c r="G25" s="6"/>
      <c r="H25" t="s">
        <v>78</v>
      </c>
    </row>
    <row r="26" spans="1:8" ht="17" customHeight="1" x14ac:dyDescent="0.2">
      <c r="A26">
        <v>353220</v>
      </c>
      <c r="B26">
        <v>2</v>
      </c>
      <c r="C26" s="3">
        <v>1.5652173913043399</v>
      </c>
      <c r="D26" s="3">
        <f t="shared" si="0"/>
        <v>0.4347826086956601</v>
      </c>
      <c r="E26">
        <v>2</v>
      </c>
      <c r="F26" s="4">
        <f t="shared" si="1"/>
        <v>0</v>
      </c>
      <c r="G26" s="6"/>
      <c r="H26" t="s">
        <v>151</v>
      </c>
    </row>
    <row r="27" spans="1:8" ht="17" customHeight="1" x14ac:dyDescent="0.2">
      <c r="A27">
        <v>353225</v>
      </c>
      <c r="B27">
        <v>2</v>
      </c>
      <c r="C27" s="3">
        <v>1.5652173913043399</v>
      </c>
      <c r="D27" s="3">
        <f t="shared" si="0"/>
        <v>0.4347826086956601</v>
      </c>
      <c r="E27">
        <v>2</v>
      </c>
      <c r="F27" s="4">
        <f t="shared" si="1"/>
        <v>0</v>
      </c>
      <c r="G27" s="6"/>
      <c r="H27" t="s">
        <v>110</v>
      </c>
    </row>
    <row r="28" spans="1:8" ht="17" customHeight="1" x14ac:dyDescent="0.2">
      <c r="A28">
        <v>353230</v>
      </c>
      <c r="B28">
        <v>2</v>
      </c>
      <c r="C28" s="3">
        <v>1.5652173913043399</v>
      </c>
      <c r="D28" s="3">
        <f t="shared" si="0"/>
        <v>0.4347826086956601</v>
      </c>
      <c r="E28">
        <v>2</v>
      </c>
      <c r="F28" s="4">
        <f t="shared" si="1"/>
        <v>0</v>
      </c>
      <c r="G28" s="6"/>
      <c r="H28" t="s">
        <v>140</v>
      </c>
    </row>
    <row r="29" spans="1:8" ht="17" customHeight="1" x14ac:dyDescent="0.2">
      <c r="A29">
        <v>353184</v>
      </c>
      <c r="B29">
        <v>2</v>
      </c>
      <c r="C29" s="3">
        <v>1.6521739130434701</v>
      </c>
      <c r="D29" s="3">
        <f t="shared" si="0"/>
        <v>0.34782608695652995</v>
      </c>
      <c r="E29">
        <v>2</v>
      </c>
      <c r="F29" s="4">
        <f t="shared" si="1"/>
        <v>0</v>
      </c>
      <c r="G29" s="6"/>
      <c r="H29" t="s">
        <v>74</v>
      </c>
    </row>
    <row r="30" spans="1:8" ht="17" customHeight="1" x14ac:dyDescent="0.2">
      <c r="A30">
        <v>353215</v>
      </c>
      <c r="B30">
        <v>2</v>
      </c>
      <c r="C30" s="3">
        <v>1.6521739130434701</v>
      </c>
      <c r="D30" s="3">
        <f t="shared" si="0"/>
        <v>0.34782608695652995</v>
      </c>
      <c r="E30">
        <v>2</v>
      </c>
      <c r="F30" s="4">
        <f t="shared" si="1"/>
        <v>0</v>
      </c>
      <c r="G30" s="6"/>
      <c r="H30" t="s">
        <v>133</v>
      </c>
    </row>
    <row r="31" spans="1:8" ht="17" customHeight="1" x14ac:dyDescent="0.2">
      <c r="A31">
        <v>353174</v>
      </c>
      <c r="B31">
        <v>2</v>
      </c>
      <c r="C31" s="3">
        <v>1.7391304347826</v>
      </c>
      <c r="D31" s="3">
        <f t="shared" si="0"/>
        <v>0.26086956521740001</v>
      </c>
      <c r="E31">
        <v>2</v>
      </c>
      <c r="F31" s="4">
        <f t="shared" si="1"/>
        <v>0</v>
      </c>
      <c r="G31" s="6"/>
      <c r="H31" t="s">
        <v>97</v>
      </c>
    </row>
    <row r="32" spans="1:8" ht="17" customHeight="1" x14ac:dyDescent="0.2">
      <c r="A32">
        <v>353186</v>
      </c>
      <c r="B32">
        <v>2</v>
      </c>
      <c r="C32" s="3">
        <v>1.7391304347826</v>
      </c>
      <c r="D32" s="3">
        <f t="shared" si="0"/>
        <v>0.26086956521740001</v>
      </c>
      <c r="E32">
        <v>2</v>
      </c>
      <c r="F32" s="4">
        <f t="shared" si="1"/>
        <v>0</v>
      </c>
      <c r="G32" s="6"/>
      <c r="H32" t="s">
        <v>82</v>
      </c>
    </row>
    <row r="33" spans="1:8" ht="17" customHeight="1" x14ac:dyDescent="0.2">
      <c r="A33">
        <v>405013</v>
      </c>
      <c r="B33">
        <v>2</v>
      </c>
      <c r="C33" s="3">
        <v>1.7391304347826</v>
      </c>
      <c r="D33" s="3">
        <f t="shared" si="0"/>
        <v>0.26086956521740001</v>
      </c>
      <c r="E33">
        <v>2</v>
      </c>
      <c r="F33" s="4">
        <f t="shared" si="1"/>
        <v>0</v>
      </c>
      <c r="G33" s="6"/>
      <c r="H33" t="s">
        <v>118</v>
      </c>
    </row>
    <row r="34" spans="1:8" ht="17" customHeight="1" x14ac:dyDescent="0.2">
      <c r="A34">
        <v>405566</v>
      </c>
      <c r="B34">
        <v>2</v>
      </c>
      <c r="C34" s="3">
        <v>1.7391304347826</v>
      </c>
      <c r="D34" s="3">
        <f t="shared" si="0"/>
        <v>0.26086956521740001</v>
      </c>
      <c r="E34">
        <v>2</v>
      </c>
      <c r="F34" s="4">
        <f t="shared" si="1"/>
        <v>0</v>
      </c>
      <c r="G34" s="6"/>
      <c r="H34" t="s">
        <v>120</v>
      </c>
    </row>
    <row r="35" spans="1:8" ht="17" customHeight="1" x14ac:dyDescent="0.2">
      <c r="A35">
        <v>353217</v>
      </c>
      <c r="B35">
        <v>2</v>
      </c>
      <c r="C35" s="3">
        <v>1.8260869565217299</v>
      </c>
      <c r="D35" s="3">
        <f t="shared" si="0"/>
        <v>0.17391304347827008</v>
      </c>
      <c r="E35">
        <v>2</v>
      </c>
      <c r="F35" s="4">
        <f t="shared" si="1"/>
        <v>0</v>
      </c>
      <c r="G35" s="6"/>
      <c r="H35" t="s">
        <v>139</v>
      </c>
    </row>
    <row r="36" spans="1:8" ht="17" customHeight="1" x14ac:dyDescent="0.2">
      <c r="A36">
        <v>353218</v>
      </c>
      <c r="B36">
        <v>2</v>
      </c>
      <c r="C36" s="3">
        <v>1.8260869565217299</v>
      </c>
      <c r="D36" s="3">
        <f t="shared" si="0"/>
        <v>0.17391304347827008</v>
      </c>
      <c r="E36">
        <v>2</v>
      </c>
      <c r="F36" s="4">
        <f t="shared" si="1"/>
        <v>0</v>
      </c>
      <c r="G36" s="6"/>
      <c r="H36" t="s">
        <v>64</v>
      </c>
    </row>
    <row r="37" spans="1:8" ht="17" customHeight="1" x14ac:dyDescent="0.2">
      <c r="A37">
        <v>353176</v>
      </c>
      <c r="B37">
        <v>2</v>
      </c>
      <c r="C37" s="3">
        <v>1.9130434782608601</v>
      </c>
      <c r="D37" s="3">
        <f t="shared" si="0"/>
        <v>8.6956521739139925E-2</v>
      </c>
      <c r="E37">
        <v>2</v>
      </c>
      <c r="F37" s="4">
        <f t="shared" si="1"/>
        <v>0</v>
      </c>
      <c r="G37" s="6"/>
      <c r="H37" t="s">
        <v>60</v>
      </c>
    </row>
    <row r="38" spans="1:8" ht="17" customHeight="1" x14ac:dyDescent="0.2">
      <c r="A38">
        <v>353213</v>
      </c>
      <c r="B38">
        <v>2</v>
      </c>
      <c r="C38" s="3">
        <v>1.9130434782608601</v>
      </c>
      <c r="D38" s="3">
        <f t="shared" si="0"/>
        <v>8.6956521739139925E-2</v>
      </c>
      <c r="E38">
        <v>2</v>
      </c>
      <c r="F38" s="4">
        <f t="shared" si="1"/>
        <v>0</v>
      </c>
      <c r="G38" s="6"/>
      <c r="H38" t="s">
        <v>144</v>
      </c>
    </row>
    <row r="39" spans="1:8" ht="17" customHeight="1" x14ac:dyDescent="0.2">
      <c r="A39">
        <v>353221</v>
      </c>
      <c r="B39">
        <v>2</v>
      </c>
      <c r="C39" s="3">
        <v>1.9130434782608601</v>
      </c>
      <c r="D39" s="3">
        <f t="shared" si="0"/>
        <v>8.6956521739139925E-2</v>
      </c>
      <c r="E39">
        <v>2</v>
      </c>
      <c r="F39" s="4">
        <f t="shared" si="1"/>
        <v>0</v>
      </c>
      <c r="G39" s="6"/>
      <c r="H39" t="s">
        <v>83</v>
      </c>
    </row>
    <row r="40" spans="1:8" ht="17" customHeight="1" x14ac:dyDescent="0.2">
      <c r="A40">
        <v>405565</v>
      </c>
      <c r="B40">
        <v>2</v>
      </c>
      <c r="C40" s="3">
        <v>2</v>
      </c>
      <c r="D40" s="3">
        <f t="shared" si="0"/>
        <v>0</v>
      </c>
      <c r="E40">
        <v>2</v>
      </c>
      <c r="F40" s="4">
        <f t="shared" si="1"/>
        <v>0</v>
      </c>
      <c r="G40" s="6"/>
      <c r="H40" t="s">
        <v>71</v>
      </c>
    </row>
  </sheetData>
  <conditionalFormatting sqref="D2:D40">
    <cfRule type="dataBar" priority="2">
      <dataBar>
        <cfvo type="min"/>
        <cfvo type="max"/>
        <color rgb="FFD6007B"/>
      </dataBar>
      <extLst>
        <ext xmlns:x14="http://schemas.microsoft.com/office/spreadsheetml/2009/9/main" uri="{B025F937-C7B1-47D3-B67F-A62EFF666E3E}">
          <x14:id>{78B0A449-4F39-4659-AD97-94FA5588D005}</x14:id>
        </ext>
      </extLst>
    </cfRule>
  </conditionalFormatting>
  <conditionalFormatting sqref="F2:G40">
    <cfRule type="dataBar" priority="1">
      <dataBar>
        <cfvo type="min"/>
        <cfvo type="max"/>
        <color rgb="FFD6007B"/>
      </dataBar>
      <extLst>
        <ext xmlns:x14="http://schemas.microsoft.com/office/spreadsheetml/2009/9/main" uri="{B025F937-C7B1-47D3-B67F-A62EFF666E3E}">
          <x14:id>{2E2C6D1A-F5CC-4D01-BA6C-75AA1335ABF9}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8B0A449-4F39-4659-AD97-94FA5588D005}">
            <x14:dataBar minLength="0" maxLength="100" gradient="0">
              <x14:cfvo type="autoMin"/>
              <x14:cfvo type="autoMax"/>
              <x14:negativeFillColor rgb="FFFF0000"/>
              <x14:axisColor rgb="FF000000"/>
            </x14:dataBar>
          </x14:cfRule>
          <xm:sqref>D2:D40</xm:sqref>
        </x14:conditionalFormatting>
        <x14:conditionalFormatting xmlns:xm="http://schemas.microsoft.com/office/excel/2006/main">
          <x14:cfRule type="dataBar" id="{2E2C6D1A-F5CC-4D01-BA6C-75AA1335ABF9}">
            <x14:dataBar minLength="0" maxLength="100" gradient="0">
              <x14:cfvo type="autoMin"/>
              <x14:cfvo type="autoMax"/>
              <x14:negativeFillColor rgb="FFFF0000"/>
              <x14:axisColor rgb="FF000000"/>
            </x14:dataBar>
          </x14:cfRule>
          <xm:sqref>F2:G40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Exam 1 Quiz and Item Analysis 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Onishi, Saryu</dc:creator>
  <cp:lastModifiedBy>Intern, Performance</cp:lastModifiedBy>
  <dcterms:created xsi:type="dcterms:W3CDTF">2026-10-07T21:25:45Z</dcterms:created>
  <dcterms:modified xsi:type="dcterms:W3CDTF">2026-10-13T20:44:26Z</dcterms:modified>
</cp:coreProperties>
</file>